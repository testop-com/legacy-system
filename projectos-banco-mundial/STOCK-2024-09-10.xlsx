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 Saia\Documents\Stock Management\ProEnergia+ Stock Management\"/>
    </mc:Choice>
  </mc:AlternateContent>
  <xr:revisionPtr revIDLastSave="0" documentId="13_ncr:1_{25FCD40C-5B10-41A9-B71D-089395798017}" xr6:coauthVersionLast="47" xr6:coauthVersionMax="47" xr10:uidLastSave="{00000000-0000-0000-0000-000000000000}"/>
  <bookViews>
    <workbookView xWindow="-120" yWindow="-120" windowWidth="20730" windowHeight="11040" xr2:uid="{A8DC53CC-FE88-43D4-9016-0E110EC65F84}"/>
  </bookViews>
  <sheets>
    <sheet name="Planilha1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H3" i="1"/>
  <c r="L19" i="1" l="1"/>
  <c r="L20" i="1"/>
  <c r="L21" i="1"/>
  <c r="L22" i="1"/>
  <c r="L24" i="1"/>
  <c r="L25" i="1"/>
  <c r="L26" i="1"/>
  <c r="L17" i="1"/>
  <c r="M25" i="1"/>
  <c r="M26" i="1"/>
  <c r="M19" i="1"/>
  <c r="M20" i="1"/>
  <c r="M21" i="1"/>
  <c r="M22" i="1"/>
  <c r="M24" i="1"/>
  <c r="M17" i="1"/>
  <c r="K26" i="1"/>
  <c r="K25" i="1"/>
  <c r="K24" i="1"/>
  <c r="K22" i="1"/>
  <c r="K21" i="1"/>
  <c r="K20" i="1"/>
  <c r="K19" i="1"/>
  <c r="K17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5" i="1"/>
  <c r="N26" i="1"/>
  <c r="N27" i="1"/>
  <c r="N28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28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3" i="1"/>
  <c r="G3" i="1" l="1"/>
  <c r="E3" i="1" l="1"/>
  <c r="F3" i="1" l="1"/>
  <c r="I3" i="1" l="1"/>
</calcChain>
</file>

<file path=xl/sharedStrings.xml><?xml version="1.0" encoding="utf-8"?>
<sst xmlns="http://schemas.openxmlformats.org/spreadsheetml/2006/main" count="114" uniqueCount="71">
  <si>
    <t>SKU</t>
  </si>
  <si>
    <t>Description</t>
  </si>
  <si>
    <t>Un</t>
  </si>
  <si>
    <t>Nampula</t>
  </si>
  <si>
    <t>Nacala</t>
  </si>
  <si>
    <t>Lichinga</t>
  </si>
  <si>
    <t>Cuamba</t>
  </si>
  <si>
    <t>No.</t>
  </si>
  <si>
    <t>12 m Wood Pole Top Diameter 220 mm</t>
  </si>
  <si>
    <t>12 m Wood Pole Top Diameter 200 mm</t>
  </si>
  <si>
    <t>Steel lattice Pole 11m</t>
  </si>
  <si>
    <t>Steel lattice Pole 9m</t>
  </si>
  <si>
    <t>Conductor AAAC - Mulberry</t>
  </si>
  <si>
    <t>Transformer 33kV/0.4kV</t>
  </si>
  <si>
    <t>Transformer 22kV/0.4kV</t>
  </si>
  <si>
    <t>Transformer 11 kV/0.4kV</t>
  </si>
  <si>
    <t>LV Distribuition Board</t>
  </si>
  <si>
    <t>MV Porcelain Post Insulators</t>
  </si>
  <si>
    <t>Long rod composite Insulators</t>
  </si>
  <si>
    <t>Wooden Pole 9 m</t>
  </si>
  <si>
    <t>6.6m Wood Pole</t>
  </si>
  <si>
    <t>LV-ABC 4x50+25 mm2</t>
  </si>
  <si>
    <t>Single phase meter</t>
  </si>
  <si>
    <t>Three phase meter</t>
  </si>
  <si>
    <t>Ready board</t>
  </si>
  <si>
    <t>4 Ways Pole Top Box</t>
  </si>
  <si>
    <t>2 Ways Pole Top Box</t>
  </si>
  <si>
    <t>LV-ABC 2x10 mm2</t>
  </si>
  <si>
    <t>LV-ABC 4x16 mm2</t>
  </si>
  <si>
    <t>PC1 Connector</t>
  </si>
  <si>
    <t>PC2 Connector</t>
  </si>
  <si>
    <t>Tension Clamp 2x10mm2</t>
  </si>
  <si>
    <t>Tension Clamp 4x16mm2</t>
  </si>
  <si>
    <t>Street Light</t>
  </si>
  <si>
    <t>Street Light Arm</t>
  </si>
  <si>
    <t>Nos</t>
  </si>
  <si>
    <t>m</t>
  </si>
  <si>
    <t>POLE-W-6</t>
  </si>
  <si>
    <t>POLE-W-12-D220</t>
  </si>
  <si>
    <t>POLE-W-12-D200</t>
  </si>
  <si>
    <t>POLE-S-11</t>
  </si>
  <si>
    <t>POLE-S-9</t>
  </si>
  <si>
    <t>COND-AAAC-MB</t>
  </si>
  <si>
    <t>TRAN-33-04-KV</t>
  </si>
  <si>
    <t>TRAN-22-04-KV</t>
  </si>
  <si>
    <t>TRAN-11-04-KV</t>
  </si>
  <si>
    <t>D-BOARD-LV</t>
  </si>
  <si>
    <t>INS-POST-POR-MV</t>
  </si>
  <si>
    <t>INS-LONR-POL-MV</t>
  </si>
  <si>
    <t>POLE-W-9</t>
  </si>
  <si>
    <t>ABC-4X50-LV</t>
  </si>
  <si>
    <t>METER-1-PH</t>
  </si>
  <si>
    <t>METER-3-PH</t>
  </si>
  <si>
    <t>READY-BOARD</t>
  </si>
  <si>
    <t>ABC-2X10-LV</t>
  </si>
  <si>
    <t>ABC-4X16-LV</t>
  </si>
  <si>
    <t>CLAMP-TS-2X10</t>
  </si>
  <si>
    <t>CLAMP-TS-4X16</t>
  </si>
  <si>
    <t>CONN-PC-1</t>
  </si>
  <si>
    <t>CONN-PC-2</t>
  </si>
  <si>
    <t>STL-STD</t>
  </si>
  <si>
    <t>STLA-STD</t>
  </si>
  <si>
    <t>BOX-PT-4WAY</t>
  </si>
  <si>
    <t>BOX-PT-2WAY</t>
  </si>
  <si>
    <t>media min</t>
  </si>
  <si>
    <t>min *90</t>
  </si>
  <si>
    <t>min *15</t>
  </si>
  <si>
    <t>Qty.</t>
  </si>
  <si>
    <t>PROENERGIA+ STOCK - OCTOBER 1ST, 2024</t>
  </si>
  <si>
    <t>Angoche*</t>
  </si>
  <si>
    <t>* Setember,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</si>
</sst>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"/>
    <numFmt numFmtId="165" formatCode="_-* #,##0_-;\-* #,##0_-;_-* &quot;-&quot;??_-;_-@_-"/>
    <numFmt numFmtId="166" formatCode="#,##0_ ;[Red]\-#,##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1" applyNumberFormat="1" applyFont="1" applyFill="1"/>
    <xf numFmtId="1" fontId="4" fillId="0" borderId="0" xfId="0" applyNumberFormat="1" applyFont="1"/>
    <xf numFmtId="166" fontId="3" fillId="0" borderId="1" xfId="0" applyNumberFormat="1" applyFont="1" applyBorder="1"/>
    <xf numFmtId="0" fontId="3" fillId="0" borderId="1" xfId="0" applyFont="1" applyBorder="1"/>
    <xf numFmtId="166" fontId="4" fillId="0" borderId="0" xfId="0" applyNumberFormat="1" applyFont="1" applyAlignment="1">
      <alignment horizontal="left"/>
    </xf>
    <xf numFmtId="166" fontId="4" fillId="0" borderId="0" xfId="0" applyNumberFormat="1" applyFont="1"/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4" fillId="0" borderId="2" xfId="0" applyFont="1" applyBorder="1"/>
    <xf numFmtId="165" fontId="4" fillId="0" borderId="0" xfId="1" applyNumberFormat="1" applyFont="1" applyFill="1" applyBorder="1"/>
    <xf numFmtId="166" fontId="2" fillId="0" borderId="1" xfId="0" applyNumberFormat="1" applyFont="1" applyBorder="1"/>
    <xf numFmtId="0" fontId="3" fillId="0" borderId="0" xfId="0" applyFont="1" applyAlignment="1">
      <alignment horizontal="left"/>
    </xf>
    <xf numFmtId="0" fontId="5" fillId="0" borderId="0" xfId="0" applyFont="1" applyFill="1"/>
    <xf numFmtId="1" fontId="5" fillId="0" borderId="0" xfId="0" applyNumberFormat="1" applyFont="1" applyFill="1"/>
  </cellXfs>
  <cellStyles count="2">
    <cellStyle name="Normal" xfId="0" builtinId="0"/>
    <cellStyle name="Vírgula" xfId="1" builtinId="3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* #,##0_-;\-* #,##0_-;_-* &quot;-&quot;??_-;_-@_-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* #,##0_-;\-* #,##0_-;_-* &quot;-&quot;??_-;_-@_-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* #,##0_-;\-* #,##0_-;_-* &quot;-&quot;??_-;_-@_-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* #,##0_-;\-* #,##0_-;_-* &quot;-&quot;??_-;_-@_-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* #,##0_-;\-* #,##0_-;_-* &quot;-&quot;??_-;_-@_-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re%20Saia\Documents\Stock%20Management\ProEnergia+%20Stock%20Management\Nampula\Nampula-material-transportation-data.xlsx" TargetMode="External"/><Relationship Id="rId1" Type="http://schemas.openxmlformats.org/officeDocument/2006/relationships/externalLinkPath" Target="Nampula/Nampula-material-transportation-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re%20Saia\Documents\Stock%20Management\ProEnergia+%20Stock%20Management\Nacala\Nacala-material-transportation-data.xlsx" TargetMode="External"/><Relationship Id="rId1" Type="http://schemas.openxmlformats.org/officeDocument/2006/relationships/externalLinkPath" Target="Nacala/Nacala-material-transportation-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re%20Saia\Documents\Stock%20Management\ProEnergia+%20Stock%20Management\Angoche\Angoche-material-transportation-data.xlsx" TargetMode="External"/><Relationship Id="rId1" Type="http://schemas.openxmlformats.org/officeDocument/2006/relationships/externalLinkPath" Target="Angoche/Angoche-material-transportation-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re%20Saia\Documents\Stock%20Management\ProEnergia+%20Stock%20Management\Lichinga\Lichinga-material-transportation-data.xlsx" TargetMode="External"/><Relationship Id="rId1" Type="http://schemas.openxmlformats.org/officeDocument/2006/relationships/externalLinkPath" Target="Lichinga/Lichinga-material-transportation-data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re%20Saia\Documents\Stock%20Management\ProEnergia+%20Stock%20Management\Cuamba\Cuamba-material-transportation-data.xlsx" TargetMode="External"/><Relationship Id="rId1" Type="http://schemas.openxmlformats.org/officeDocument/2006/relationships/externalLinkPath" Target="Cuamba/Cuamba-material-transportation-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ite"/>
      <sheetName val="other"/>
      <sheetName val="summary"/>
      <sheetName val="Planilha1"/>
    </sheetNames>
    <sheetDataSet>
      <sheetData sheetId="0"/>
      <sheetData sheetId="1"/>
      <sheetData sheetId="2">
        <row r="3">
          <cell r="B3" t="str">
            <v>12 m Wood Pole Top Diameter 220 mm</v>
          </cell>
          <cell r="C3" t="str">
            <v>Nos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12 m Wood Pole Top Diameter 200 mm</v>
          </cell>
          <cell r="C4" t="str">
            <v>Nos</v>
          </cell>
          <cell r="D4">
            <v>791</v>
          </cell>
          <cell r="E4">
            <v>0</v>
          </cell>
          <cell r="F4">
            <v>0</v>
          </cell>
          <cell r="G4">
            <v>0</v>
          </cell>
          <cell r="H4">
            <v>791</v>
          </cell>
        </row>
        <row r="5">
          <cell r="B5" t="str">
            <v>Steel lattice Pole 11m</v>
          </cell>
          <cell r="C5" t="str">
            <v>Nos</v>
          </cell>
          <cell r="D5">
            <v>150</v>
          </cell>
          <cell r="E5">
            <v>0</v>
          </cell>
          <cell r="F5">
            <v>0</v>
          </cell>
          <cell r="G5">
            <v>0</v>
          </cell>
          <cell r="H5">
            <v>150</v>
          </cell>
        </row>
        <row r="6">
          <cell r="B6" t="str">
            <v>Steel lattice Pole 9m</v>
          </cell>
          <cell r="C6" t="str">
            <v>Nos</v>
          </cell>
          <cell r="D6">
            <v>100</v>
          </cell>
          <cell r="E6">
            <v>0</v>
          </cell>
          <cell r="F6">
            <v>0</v>
          </cell>
          <cell r="G6">
            <v>0</v>
          </cell>
          <cell r="H6">
            <v>100</v>
          </cell>
        </row>
        <row r="7">
          <cell r="B7" t="str">
            <v>Conductor AAAC - Mulberry</v>
          </cell>
          <cell r="C7" t="str">
            <v>m</v>
          </cell>
          <cell r="D7">
            <v>235150</v>
          </cell>
          <cell r="E7">
            <v>0</v>
          </cell>
          <cell r="F7">
            <v>0</v>
          </cell>
          <cell r="G7">
            <v>0</v>
          </cell>
          <cell r="H7">
            <v>235150</v>
          </cell>
        </row>
        <row r="8">
          <cell r="B8" t="str">
            <v>Transformer 33kV/0.4kV</v>
          </cell>
          <cell r="C8" t="str">
            <v>Nos</v>
          </cell>
          <cell r="D8">
            <v>17</v>
          </cell>
          <cell r="E8">
            <v>0</v>
          </cell>
          <cell r="F8">
            <v>3</v>
          </cell>
          <cell r="G8">
            <v>3</v>
          </cell>
          <cell r="H8">
            <v>14</v>
          </cell>
        </row>
        <row r="9">
          <cell r="B9" t="str">
            <v>Transformer 22kV/0.4kV</v>
          </cell>
          <cell r="C9" t="str">
            <v>Nos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Transformer 11 kV/0.4kV</v>
          </cell>
          <cell r="C10" t="str">
            <v>Nos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LV Distribuition Board</v>
          </cell>
          <cell r="C11" t="str">
            <v>Nos</v>
          </cell>
          <cell r="D11">
            <v>18</v>
          </cell>
          <cell r="E11">
            <v>0</v>
          </cell>
          <cell r="F11">
            <v>0</v>
          </cell>
          <cell r="G11">
            <v>0</v>
          </cell>
          <cell r="H11">
            <v>18</v>
          </cell>
        </row>
        <row r="12">
          <cell r="B12" t="str">
            <v>MV Porcelain Post Insulators</v>
          </cell>
          <cell r="C12" t="str">
            <v>Nos</v>
          </cell>
          <cell r="D12">
            <v>314</v>
          </cell>
          <cell r="E12">
            <v>0</v>
          </cell>
          <cell r="F12">
            <v>0</v>
          </cell>
          <cell r="G12">
            <v>0</v>
          </cell>
          <cell r="H12">
            <v>314</v>
          </cell>
        </row>
        <row r="13">
          <cell r="B13" t="str">
            <v>Long rod composite Insulators</v>
          </cell>
          <cell r="C13" t="str">
            <v>Nos</v>
          </cell>
          <cell r="D13">
            <v>1376</v>
          </cell>
          <cell r="E13">
            <v>0</v>
          </cell>
          <cell r="F13">
            <v>0</v>
          </cell>
          <cell r="G13">
            <v>0</v>
          </cell>
          <cell r="H13">
            <v>1376</v>
          </cell>
        </row>
        <row r="14">
          <cell r="B14" t="str">
            <v>Wooden Pole 9 m</v>
          </cell>
          <cell r="C14" t="str">
            <v>Nos</v>
          </cell>
          <cell r="D14">
            <v>359</v>
          </cell>
          <cell r="E14">
            <v>330</v>
          </cell>
          <cell r="F14">
            <v>0</v>
          </cell>
          <cell r="G14">
            <v>330</v>
          </cell>
          <cell r="H14">
            <v>29</v>
          </cell>
        </row>
        <row r="15">
          <cell r="B15" t="str">
            <v>6.6m Wood Pole</v>
          </cell>
          <cell r="C15" t="str">
            <v>Nos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LV-ABC 4x50+25 mm2</v>
          </cell>
          <cell r="C16" t="str">
            <v>m</v>
          </cell>
          <cell r="D16">
            <v>93600</v>
          </cell>
          <cell r="E16">
            <v>0</v>
          </cell>
          <cell r="F16">
            <v>33600</v>
          </cell>
          <cell r="G16">
            <v>33600</v>
          </cell>
          <cell r="H16">
            <v>60000</v>
          </cell>
        </row>
        <row r="17">
          <cell r="B17" t="str">
            <v>Single phase meter</v>
          </cell>
          <cell r="C17" t="str">
            <v>Nos</v>
          </cell>
          <cell r="D17">
            <v>44441</v>
          </cell>
          <cell r="E17">
            <v>8231</v>
          </cell>
          <cell r="F17">
            <v>0</v>
          </cell>
          <cell r="G17">
            <v>8231</v>
          </cell>
          <cell r="H17">
            <v>36210</v>
          </cell>
        </row>
        <row r="18">
          <cell r="B18" t="str">
            <v>Three phase meter</v>
          </cell>
          <cell r="C18" t="str">
            <v>Nos</v>
          </cell>
          <cell r="D18">
            <v>3663</v>
          </cell>
          <cell r="E18">
            <v>0</v>
          </cell>
          <cell r="F18">
            <v>0</v>
          </cell>
          <cell r="G18">
            <v>0</v>
          </cell>
          <cell r="H18">
            <v>3663</v>
          </cell>
        </row>
        <row r="19">
          <cell r="B19" t="str">
            <v>Ready board</v>
          </cell>
          <cell r="C19" t="str">
            <v>Nos</v>
          </cell>
          <cell r="D19">
            <v>9083</v>
          </cell>
          <cell r="E19">
            <v>3462</v>
          </cell>
          <cell r="F19">
            <v>1770</v>
          </cell>
          <cell r="G19">
            <v>5232</v>
          </cell>
          <cell r="H19">
            <v>3851</v>
          </cell>
        </row>
        <row r="20">
          <cell r="B20" t="str">
            <v>4 Ways Pole Top Box</v>
          </cell>
          <cell r="C20" t="str">
            <v>Nos</v>
          </cell>
          <cell r="D20">
            <v>3016</v>
          </cell>
          <cell r="E20">
            <v>1302</v>
          </cell>
          <cell r="F20">
            <v>0</v>
          </cell>
          <cell r="G20">
            <v>1302</v>
          </cell>
          <cell r="H20">
            <v>1714</v>
          </cell>
        </row>
        <row r="21">
          <cell r="B21" t="str">
            <v>2 Ways Pole Top Box</v>
          </cell>
          <cell r="C21" t="str">
            <v>Nos</v>
          </cell>
          <cell r="D21">
            <v>16035</v>
          </cell>
          <cell r="E21">
            <v>1529</v>
          </cell>
          <cell r="F21">
            <v>0</v>
          </cell>
          <cell r="G21">
            <v>1529</v>
          </cell>
          <cell r="H21">
            <v>14506</v>
          </cell>
        </row>
        <row r="22">
          <cell r="B22" t="str">
            <v>LV-ABC 2x10 mm2</v>
          </cell>
          <cell r="C22" t="str">
            <v>m</v>
          </cell>
          <cell r="D22">
            <v>423930</v>
          </cell>
          <cell r="E22">
            <v>256900</v>
          </cell>
          <cell r="F22">
            <v>88000</v>
          </cell>
          <cell r="G22">
            <v>344900</v>
          </cell>
          <cell r="H22">
            <v>79030</v>
          </cell>
        </row>
        <row r="23">
          <cell r="B23" t="str">
            <v>LV-ABC 4x16 mm2</v>
          </cell>
          <cell r="C23" t="str">
            <v>m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PC1 Connector</v>
          </cell>
          <cell r="C24" t="str">
            <v>Nos</v>
          </cell>
          <cell r="D24">
            <v>55060</v>
          </cell>
          <cell r="E24">
            <v>330</v>
          </cell>
          <cell r="F24">
            <v>0</v>
          </cell>
          <cell r="G24">
            <v>330</v>
          </cell>
          <cell r="H24">
            <v>54730</v>
          </cell>
        </row>
        <row r="25">
          <cell r="B25" t="str">
            <v>PC2 Connector</v>
          </cell>
          <cell r="C25" t="str">
            <v>Nos</v>
          </cell>
          <cell r="D25">
            <v>68860</v>
          </cell>
          <cell r="E25">
            <v>13995</v>
          </cell>
          <cell r="F25">
            <v>0</v>
          </cell>
          <cell r="G25">
            <v>13995</v>
          </cell>
          <cell r="H25">
            <v>54865</v>
          </cell>
        </row>
        <row r="26">
          <cell r="B26" t="str">
            <v>Tension Clamp 2x10mm2</v>
          </cell>
          <cell r="C26" t="str">
            <v>Nos</v>
          </cell>
          <cell r="D26">
            <v>66500</v>
          </cell>
          <cell r="E26">
            <v>15659</v>
          </cell>
          <cell r="F26">
            <v>0</v>
          </cell>
          <cell r="G26">
            <v>15659</v>
          </cell>
          <cell r="H26">
            <v>50841</v>
          </cell>
        </row>
        <row r="27">
          <cell r="B27" t="str">
            <v>Tension Clamp 4x16mm2</v>
          </cell>
          <cell r="C27" t="str">
            <v>Nos</v>
          </cell>
          <cell r="D27">
            <v>2360</v>
          </cell>
          <cell r="E27">
            <v>0</v>
          </cell>
          <cell r="F27">
            <v>0</v>
          </cell>
          <cell r="G27">
            <v>0</v>
          </cell>
          <cell r="H27">
            <v>2360</v>
          </cell>
        </row>
        <row r="28">
          <cell r="B28" t="str">
            <v>Street Light</v>
          </cell>
          <cell r="C28" t="str">
            <v>Nos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Street Light Arm</v>
          </cell>
          <cell r="C29" t="str">
            <v>Nos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ite"/>
      <sheetName val="other"/>
      <sheetName val="summary"/>
      <sheetName val="Planilha1"/>
    </sheetNames>
    <sheetDataSet>
      <sheetData sheetId="0"/>
      <sheetData sheetId="1"/>
      <sheetData sheetId="2">
        <row r="3">
          <cell r="B3" t="str">
            <v>12 m Wood Pole Top Diameter 220 mm</v>
          </cell>
          <cell r="C3" t="str">
            <v>Nos</v>
          </cell>
          <cell r="D3">
            <v>298</v>
          </cell>
          <cell r="E3">
            <v>64</v>
          </cell>
          <cell r="F3">
            <v>3</v>
          </cell>
          <cell r="G3">
            <v>67</v>
          </cell>
          <cell r="H3">
            <v>231</v>
          </cell>
        </row>
        <row r="4">
          <cell r="B4" t="str">
            <v>12 m Wood Pole Top Diameter 200 mm</v>
          </cell>
          <cell r="C4" t="str">
            <v>Nos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Steel lattice Pole 11m</v>
          </cell>
          <cell r="C5" t="str">
            <v>Nos</v>
          </cell>
          <cell r="D5">
            <v>20</v>
          </cell>
          <cell r="E5">
            <v>0</v>
          </cell>
          <cell r="F5">
            <v>0</v>
          </cell>
          <cell r="G5">
            <v>0</v>
          </cell>
          <cell r="H5">
            <v>20</v>
          </cell>
        </row>
        <row r="6">
          <cell r="B6" t="str">
            <v>Steel lattice Pole 9m</v>
          </cell>
          <cell r="C6" t="str">
            <v>Nos</v>
          </cell>
          <cell r="D6">
            <v>100</v>
          </cell>
          <cell r="E6">
            <v>0</v>
          </cell>
          <cell r="F6">
            <v>0</v>
          </cell>
          <cell r="G6">
            <v>0</v>
          </cell>
          <cell r="H6">
            <v>100</v>
          </cell>
        </row>
        <row r="7">
          <cell r="B7" t="str">
            <v>Conductor AAAC - Mulberry</v>
          </cell>
          <cell r="C7" t="str">
            <v>m</v>
          </cell>
          <cell r="D7">
            <v>118886</v>
          </cell>
          <cell r="E7">
            <v>15000</v>
          </cell>
          <cell r="F7">
            <v>0</v>
          </cell>
          <cell r="G7">
            <v>15000</v>
          </cell>
          <cell r="H7">
            <v>103886</v>
          </cell>
        </row>
        <row r="8">
          <cell r="B8" t="str">
            <v>Transformer 33kV/0.4kV</v>
          </cell>
          <cell r="C8" t="str">
            <v>Nos</v>
          </cell>
          <cell r="D8">
            <v>1</v>
          </cell>
          <cell r="E8">
            <v>0</v>
          </cell>
          <cell r="F8">
            <v>0</v>
          </cell>
          <cell r="G8">
            <v>0</v>
          </cell>
          <cell r="H8">
            <v>1</v>
          </cell>
        </row>
        <row r="9">
          <cell r="B9" t="str">
            <v>Transformer 22kV/0.4kV</v>
          </cell>
          <cell r="C9" t="str">
            <v>Nos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Transformer 11 kV/0.4kV</v>
          </cell>
          <cell r="C10" t="str">
            <v>Nos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LV Distribuition Board</v>
          </cell>
          <cell r="C11" t="str">
            <v>Nos</v>
          </cell>
          <cell r="D11">
            <v>5</v>
          </cell>
          <cell r="E11">
            <v>1</v>
          </cell>
          <cell r="F11">
            <v>0</v>
          </cell>
          <cell r="G11">
            <v>1</v>
          </cell>
          <cell r="H11">
            <v>4</v>
          </cell>
        </row>
        <row r="12">
          <cell r="B12" t="str">
            <v>MV Porcelain Post Insulators</v>
          </cell>
          <cell r="C12" t="str">
            <v>Nos</v>
          </cell>
          <cell r="D12">
            <v>2171</v>
          </cell>
          <cell r="E12">
            <v>168</v>
          </cell>
          <cell r="F12">
            <v>0</v>
          </cell>
          <cell r="G12">
            <v>168</v>
          </cell>
          <cell r="H12">
            <v>2003</v>
          </cell>
        </row>
        <row r="13">
          <cell r="B13" t="str">
            <v>Long rod composite Insulators</v>
          </cell>
          <cell r="C13" t="str">
            <v>Nos</v>
          </cell>
          <cell r="D13">
            <v>1121</v>
          </cell>
          <cell r="E13">
            <v>27</v>
          </cell>
          <cell r="F13">
            <v>0</v>
          </cell>
          <cell r="G13">
            <v>27</v>
          </cell>
          <cell r="H13">
            <v>1094</v>
          </cell>
        </row>
        <row r="14">
          <cell r="B14" t="str">
            <v>Wooden Pole 9 m</v>
          </cell>
          <cell r="C14" t="str">
            <v>Nos</v>
          </cell>
          <cell r="D14">
            <v>313</v>
          </cell>
          <cell r="E14">
            <v>122</v>
          </cell>
          <cell r="F14">
            <v>3</v>
          </cell>
          <cell r="G14">
            <v>125</v>
          </cell>
          <cell r="H14">
            <v>188</v>
          </cell>
        </row>
        <row r="15">
          <cell r="B15" t="str">
            <v>6.6m Wood Pole</v>
          </cell>
          <cell r="C15" t="str">
            <v>Nos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LV-ABC 4x50+25 mm2</v>
          </cell>
          <cell r="C16" t="str">
            <v>m</v>
          </cell>
          <cell r="D16">
            <v>114997</v>
          </cell>
          <cell r="E16">
            <v>3000</v>
          </cell>
          <cell r="F16">
            <v>5400</v>
          </cell>
          <cell r="G16">
            <v>8400</v>
          </cell>
          <cell r="H16">
            <v>106597</v>
          </cell>
        </row>
        <row r="17">
          <cell r="B17" t="str">
            <v>Single phase meter</v>
          </cell>
          <cell r="C17" t="str">
            <v>Nos</v>
          </cell>
          <cell r="D17">
            <v>45799</v>
          </cell>
          <cell r="E17">
            <v>9465</v>
          </cell>
          <cell r="F17">
            <v>27109</v>
          </cell>
          <cell r="G17">
            <v>36574</v>
          </cell>
          <cell r="H17">
            <v>9225</v>
          </cell>
        </row>
        <row r="18">
          <cell r="B18" t="str">
            <v>Three phase meter</v>
          </cell>
          <cell r="C18" t="str">
            <v>Nos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Ready board</v>
          </cell>
          <cell r="C19" t="str">
            <v>Nos</v>
          </cell>
          <cell r="D19">
            <v>6672</v>
          </cell>
          <cell r="E19">
            <v>5167</v>
          </cell>
          <cell r="F19">
            <v>1470</v>
          </cell>
          <cell r="G19">
            <v>6637</v>
          </cell>
          <cell r="H19">
            <v>35</v>
          </cell>
        </row>
        <row r="20">
          <cell r="B20" t="str">
            <v>4 Ways Pole Top Box</v>
          </cell>
          <cell r="C20" t="str">
            <v>Nos</v>
          </cell>
          <cell r="D20">
            <v>612</v>
          </cell>
          <cell r="E20">
            <v>577</v>
          </cell>
          <cell r="F20">
            <v>360</v>
          </cell>
          <cell r="G20">
            <v>937</v>
          </cell>
          <cell r="H20">
            <v>-325</v>
          </cell>
        </row>
        <row r="21">
          <cell r="B21" t="str">
            <v>2 Ways Pole Top Box</v>
          </cell>
          <cell r="C21" t="str">
            <v>Nos</v>
          </cell>
          <cell r="D21">
            <v>11119</v>
          </cell>
          <cell r="E21">
            <v>3109</v>
          </cell>
          <cell r="F21">
            <v>1790</v>
          </cell>
          <cell r="G21">
            <v>4899</v>
          </cell>
          <cell r="H21">
            <v>6220</v>
          </cell>
        </row>
        <row r="22">
          <cell r="B22" t="str">
            <v>LV-ABC 2x10 mm2</v>
          </cell>
          <cell r="C22" t="str">
            <v>m</v>
          </cell>
          <cell r="D22">
            <v>660000</v>
          </cell>
          <cell r="E22">
            <v>257000</v>
          </cell>
          <cell r="F22">
            <v>168000</v>
          </cell>
          <cell r="G22">
            <v>425000</v>
          </cell>
          <cell r="H22">
            <v>235000</v>
          </cell>
        </row>
        <row r="23">
          <cell r="B23" t="str">
            <v>LV-ABC 4x16 mm2</v>
          </cell>
          <cell r="C23" t="str">
            <v>m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PC1 Connector</v>
          </cell>
          <cell r="C24" t="str">
            <v>Nos</v>
          </cell>
          <cell r="D24">
            <v>46924</v>
          </cell>
          <cell r="E24">
            <v>0</v>
          </cell>
          <cell r="F24">
            <v>2500</v>
          </cell>
          <cell r="G24">
            <v>2500</v>
          </cell>
          <cell r="H24">
            <v>44424</v>
          </cell>
        </row>
        <row r="25">
          <cell r="B25" t="str">
            <v>PC2 Connector</v>
          </cell>
          <cell r="C25" t="str">
            <v>Nos</v>
          </cell>
          <cell r="D25">
            <v>46924</v>
          </cell>
          <cell r="E25">
            <v>11450</v>
          </cell>
          <cell r="F25">
            <v>4470</v>
          </cell>
          <cell r="G25">
            <v>15920</v>
          </cell>
          <cell r="H25">
            <v>31004</v>
          </cell>
        </row>
        <row r="26">
          <cell r="B26" t="str">
            <v>Tension Clamp 2x10mm2</v>
          </cell>
          <cell r="C26" t="str">
            <v>Nos</v>
          </cell>
          <cell r="D26">
            <v>45140</v>
          </cell>
          <cell r="E26">
            <v>16660</v>
          </cell>
          <cell r="F26">
            <v>7100</v>
          </cell>
          <cell r="G26">
            <v>23760</v>
          </cell>
          <cell r="H26">
            <v>21380</v>
          </cell>
        </row>
        <row r="27">
          <cell r="B27" t="str">
            <v>Tension Clamp 4x16mm2</v>
          </cell>
          <cell r="C27" t="str">
            <v>Nos</v>
          </cell>
          <cell r="D27">
            <v>1219</v>
          </cell>
          <cell r="E27">
            <v>0</v>
          </cell>
          <cell r="F27">
            <v>0</v>
          </cell>
          <cell r="G27">
            <v>0</v>
          </cell>
          <cell r="H27">
            <v>1219</v>
          </cell>
        </row>
        <row r="28">
          <cell r="B28" t="str">
            <v>Street Light</v>
          </cell>
          <cell r="C28" t="str">
            <v>Nos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Street Light Arm</v>
          </cell>
          <cell r="C29" t="str">
            <v>Nos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ite"/>
      <sheetName val="other"/>
      <sheetName val="summary"/>
      <sheetName val="Planilha1"/>
    </sheetNames>
    <sheetDataSet>
      <sheetData sheetId="0"/>
      <sheetData sheetId="1"/>
      <sheetData sheetId="2">
        <row r="3">
          <cell r="B3" t="str">
            <v>12 m Wood Pole Top Diameter 220 mm</v>
          </cell>
          <cell r="C3" t="str">
            <v>Nos</v>
          </cell>
          <cell r="D3">
            <v>108</v>
          </cell>
          <cell r="E3">
            <v>0</v>
          </cell>
          <cell r="G3">
            <v>0</v>
          </cell>
          <cell r="H3">
            <v>108</v>
          </cell>
        </row>
        <row r="4">
          <cell r="B4" t="str">
            <v>12 m Wood Pole Top Diameter 200 mm</v>
          </cell>
          <cell r="C4" t="str">
            <v>Nos</v>
          </cell>
          <cell r="D4">
            <v>30</v>
          </cell>
          <cell r="E4">
            <v>0</v>
          </cell>
          <cell r="G4">
            <v>0</v>
          </cell>
          <cell r="H4">
            <v>30</v>
          </cell>
        </row>
        <row r="5">
          <cell r="B5" t="str">
            <v>Steel lattice Pole 11m</v>
          </cell>
          <cell r="C5" t="str">
            <v>Nos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</row>
        <row r="6">
          <cell r="B6" t="str">
            <v>Steel lattice Pole 9m</v>
          </cell>
          <cell r="C6" t="str">
            <v>Nos</v>
          </cell>
          <cell r="D6">
            <v>0</v>
          </cell>
          <cell r="E6">
            <v>0</v>
          </cell>
          <cell r="G6">
            <v>0</v>
          </cell>
          <cell r="H6">
            <v>0</v>
          </cell>
        </row>
        <row r="7">
          <cell r="B7" t="str">
            <v>Conductor AAAC - Mulberry</v>
          </cell>
          <cell r="C7" t="str">
            <v>m</v>
          </cell>
          <cell r="D7">
            <v>37121</v>
          </cell>
          <cell r="E7">
            <v>0</v>
          </cell>
          <cell r="G7">
            <v>0</v>
          </cell>
          <cell r="H7">
            <v>37121</v>
          </cell>
        </row>
        <row r="8">
          <cell r="B8" t="str">
            <v>Transformer 33kV/0.4kV</v>
          </cell>
          <cell r="C8" t="str">
            <v>Nos</v>
          </cell>
          <cell r="D8">
            <v>1</v>
          </cell>
          <cell r="E8">
            <v>0</v>
          </cell>
          <cell r="G8">
            <v>0</v>
          </cell>
          <cell r="H8">
            <v>1</v>
          </cell>
        </row>
        <row r="9">
          <cell r="B9" t="str">
            <v>Transformer 22kV/0.4kV</v>
          </cell>
          <cell r="C9" t="str">
            <v>Nos</v>
          </cell>
          <cell r="D9">
            <v>4</v>
          </cell>
          <cell r="E9">
            <v>0</v>
          </cell>
          <cell r="G9">
            <v>0</v>
          </cell>
          <cell r="H9">
            <v>4</v>
          </cell>
        </row>
        <row r="10">
          <cell r="B10" t="str">
            <v>Transformer 11 kV/0.4kV</v>
          </cell>
          <cell r="C10" t="str">
            <v>Nos</v>
          </cell>
          <cell r="D10">
            <v>0</v>
          </cell>
          <cell r="E10">
            <v>0</v>
          </cell>
          <cell r="G10">
            <v>0</v>
          </cell>
          <cell r="H10">
            <v>0</v>
          </cell>
        </row>
        <row r="11">
          <cell r="B11" t="str">
            <v>LV Distribuition Board</v>
          </cell>
          <cell r="C11" t="str">
            <v>Nos</v>
          </cell>
          <cell r="D11">
            <v>0</v>
          </cell>
          <cell r="E11">
            <v>0</v>
          </cell>
          <cell r="G11">
            <v>0</v>
          </cell>
          <cell r="H11">
            <v>0</v>
          </cell>
        </row>
        <row r="12">
          <cell r="B12" t="str">
            <v>MV Porcelain Post Insulators</v>
          </cell>
          <cell r="C12" t="str">
            <v>Nos</v>
          </cell>
          <cell r="D12">
            <v>793</v>
          </cell>
          <cell r="E12">
            <v>0</v>
          </cell>
          <cell r="G12">
            <v>0</v>
          </cell>
          <cell r="H12">
            <v>793</v>
          </cell>
        </row>
        <row r="13">
          <cell r="B13" t="str">
            <v>Long rod composite Insulators</v>
          </cell>
          <cell r="C13" t="str">
            <v>Nos</v>
          </cell>
          <cell r="D13">
            <v>57</v>
          </cell>
          <cell r="E13">
            <v>0</v>
          </cell>
          <cell r="G13">
            <v>0</v>
          </cell>
          <cell r="H13">
            <v>57</v>
          </cell>
        </row>
        <row r="14">
          <cell r="B14" t="str">
            <v>Wooden Pole 9 m</v>
          </cell>
          <cell r="C14" t="str">
            <v>Nos</v>
          </cell>
          <cell r="D14">
            <v>246</v>
          </cell>
          <cell r="E14">
            <v>100</v>
          </cell>
          <cell r="G14">
            <v>100</v>
          </cell>
          <cell r="H14">
            <v>146</v>
          </cell>
        </row>
        <row r="15">
          <cell r="B15" t="str">
            <v>6.6m Wood Pole</v>
          </cell>
          <cell r="C15" t="str">
            <v>Nos</v>
          </cell>
          <cell r="D15">
            <v>0</v>
          </cell>
          <cell r="E15">
            <v>0</v>
          </cell>
          <cell r="G15">
            <v>0</v>
          </cell>
          <cell r="H15">
            <v>0</v>
          </cell>
        </row>
        <row r="16">
          <cell r="B16" t="str">
            <v>LV-ABC 4x50+25 mm2</v>
          </cell>
          <cell r="C16" t="str">
            <v>m</v>
          </cell>
          <cell r="D16">
            <v>2397</v>
          </cell>
          <cell r="E16">
            <v>0</v>
          </cell>
          <cell r="G16">
            <v>0</v>
          </cell>
          <cell r="H16">
            <v>2397</v>
          </cell>
        </row>
        <row r="17">
          <cell r="B17" t="str">
            <v>Single phase meter</v>
          </cell>
          <cell r="C17" t="str">
            <v>Nos</v>
          </cell>
          <cell r="D17">
            <v>32975</v>
          </cell>
          <cell r="E17">
            <v>2298</v>
          </cell>
          <cell r="G17">
            <v>2298</v>
          </cell>
          <cell r="H17">
            <v>30677</v>
          </cell>
        </row>
        <row r="18">
          <cell r="B18" t="str">
            <v>Three phase meter</v>
          </cell>
          <cell r="C18" t="str">
            <v>Nos</v>
          </cell>
          <cell r="D18">
            <v>208</v>
          </cell>
          <cell r="E18">
            <v>0</v>
          </cell>
          <cell r="G18">
            <v>0</v>
          </cell>
          <cell r="H18">
            <v>208</v>
          </cell>
        </row>
        <row r="19">
          <cell r="B19" t="str">
            <v>Ready board</v>
          </cell>
          <cell r="C19" t="str">
            <v>Nos</v>
          </cell>
          <cell r="D19">
            <v>9893</v>
          </cell>
          <cell r="E19">
            <v>753</v>
          </cell>
          <cell r="G19">
            <v>753</v>
          </cell>
          <cell r="H19">
            <v>9140</v>
          </cell>
        </row>
        <row r="20">
          <cell r="B20" t="str">
            <v>4 Ways Pole Top Box</v>
          </cell>
          <cell r="C20" t="str">
            <v>Nos</v>
          </cell>
          <cell r="D20">
            <v>1225</v>
          </cell>
          <cell r="E20">
            <v>18</v>
          </cell>
          <cell r="G20">
            <v>18</v>
          </cell>
          <cell r="H20">
            <v>1207</v>
          </cell>
        </row>
        <row r="21">
          <cell r="B21" t="str">
            <v>2 Ways Pole Top Box</v>
          </cell>
          <cell r="C21" t="str">
            <v>Nos</v>
          </cell>
          <cell r="D21">
            <v>16488</v>
          </cell>
          <cell r="E21">
            <v>336</v>
          </cell>
          <cell r="G21">
            <v>336</v>
          </cell>
          <cell r="H21">
            <v>16152</v>
          </cell>
        </row>
        <row r="22">
          <cell r="B22" t="str">
            <v>LV-ABC 2x10 mm2</v>
          </cell>
          <cell r="C22" t="str">
            <v>m</v>
          </cell>
          <cell r="D22">
            <v>168000</v>
          </cell>
          <cell r="E22">
            <v>50724</v>
          </cell>
          <cell r="G22">
            <v>50724</v>
          </cell>
          <cell r="H22">
            <v>117276</v>
          </cell>
        </row>
        <row r="23">
          <cell r="B23" t="str">
            <v>LV-ABC 4x16 mm2</v>
          </cell>
          <cell r="C23" t="str">
            <v>m</v>
          </cell>
          <cell r="D23">
            <v>1025</v>
          </cell>
          <cell r="E23">
            <v>0</v>
          </cell>
          <cell r="G23">
            <v>0</v>
          </cell>
          <cell r="H23">
            <v>1025</v>
          </cell>
        </row>
        <row r="24">
          <cell r="B24" t="str">
            <v>PC1 Connector</v>
          </cell>
          <cell r="C24" t="str">
            <v>Nos</v>
          </cell>
          <cell r="D24">
            <v>70850</v>
          </cell>
          <cell r="E24">
            <v>40</v>
          </cell>
          <cell r="G24">
            <v>40</v>
          </cell>
          <cell r="H24">
            <v>70810</v>
          </cell>
        </row>
        <row r="25">
          <cell r="B25" t="str">
            <v>PC2 Connector</v>
          </cell>
          <cell r="C25" t="str">
            <v>Nos</v>
          </cell>
          <cell r="D25">
            <v>70850</v>
          </cell>
          <cell r="E25">
            <v>2788</v>
          </cell>
          <cell r="G25">
            <v>2788</v>
          </cell>
          <cell r="H25">
            <v>68062</v>
          </cell>
        </row>
        <row r="26">
          <cell r="B26" t="str">
            <v>Tension Clamp 2x10mm2</v>
          </cell>
          <cell r="C26" t="str">
            <v>Nos</v>
          </cell>
          <cell r="D26">
            <v>67210</v>
          </cell>
          <cell r="E26">
            <v>3168</v>
          </cell>
          <cell r="G26">
            <v>3168</v>
          </cell>
          <cell r="H26">
            <v>64042</v>
          </cell>
        </row>
        <row r="27">
          <cell r="B27" t="str">
            <v>Tension Clamp 4x16mm2</v>
          </cell>
          <cell r="C27" t="str">
            <v>Nos</v>
          </cell>
          <cell r="D27">
            <v>2450</v>
          </cell>
          <cell r="E27">
            <v>0</v>
          </cell>
          <cell r="G27">
            <v>0</v>
          </cell>
          <cell r="H27">
            <v>2450</v>
          </cell>
        </row>
        <row r="28">
          <cell r="B28" t="str">
            <v>Street Light</v>
          </cell>
          <cell r="C28" t="str">
            <v>Nos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</row>
        <row r="29">
          <cell r="B29" t="str">
            <v>Street Light Arm</v>
          </cell>
          <cell r="C29" t="str">
            <v>Nos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ite"/>
      <sheetName val="other"/>
      <sheetName val="summary"/>
      <sheetName val="Accessories"/>
    </sheetNames>
    <sheetDataSet>
      <sheetData sheetId="0"/>
      <sheetData sheetId="1"/>
      <sheetData sheetId="2">
        <row r="3">
          <cell r="B3" t="str">
            <v>12 m Wood Pole Top Diameter 220 mm</v>
          </cell>
          <cell r="C3" t="str">
            <v>Nos</v>
          </cell>
          <cell r="D3">
            <v>318</v>
          </cell>
          <cell r="E3">
            <v>0</v>
          </cell>
          <cell r="F3">
            <v>0</v>
          </cell>
          <cell r="G3">
            <v>0</v>
          </cell>
          <cell r="H3">
            <v>318</v>
          </cell>
        </row>
        <row r="4">
          <cell r="B4" t="str">
            <v>12 m Wood Pole Top Diameter 200 mm</v>
          </cell>
          <cell r="C4" t="str">
            <v>Nos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Steel lattice Pole 11m</v>
          </cell>
          <cell r="C5" t="str">
            <v>Nos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Steel lattice Pole 9m</v>
          </cell>
          <cell r="C6" t="str">
            <v>Nos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Conductor AAAC - Mulberry</v>
          </cell>
          <cell r="C7" t="str">
            <v>m</v>
          </cell>
          <cell r="D7">
            <v>479600</v>
          </cell>
          <cell r="E7">
            <v>0</v>
          </cell>
          <cell r="F7">
            <v>0</v>
          </cell>
          <cell r="G7">
            <v>0</v>
          </cell>
          <cell r="H7">
            <v>479600</v>
          </cell>
        </row>
        <row r="8">
          <cell r="B8" t="str">
            <v>Transformer 33kV/0.4kV</v>
          </cell>
          <cell r="C8" t="str">
            <v>Nos</v>
          </cell>
          <cell r="D8">
            <v>9</v>
          </cell>
          <cell r="E8">
            <v>0</v>
          </cell>
          <cell r="F8">
            <v>0</v>
          </cell>
          <cell r="G8">
            <v>0</v>
          </cell>
          <cell r="H8">
            <v>9</v>
          </cell>
        </row>
        <row r="9">
          <cell r="B9" t="str">
            <v>Transformer 22kV/0.4kV</v>
          </cell>
          <cell r="C9" t="str">
            <v>Nos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Transformer 11 kV/0.4kV</v>
          </cell>
          <cell r="C10" t="str">
            <v>Nos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LV Distribuition Board</v>
          </cell>
          <cell r="C11" t="str">
            <v>Nos</v>
          </cell>
          <cell r="D11">
            <v>9</v>
          </cell>
          <cell r="E11">
            <v>0</v>
          </cell>
          <cell r="F11">
            <v>0</v>
          </cell>
          <cell r="G11">
            <v>0</v>
          </cell>
          <cell r="H11">
            <v>9</v>
          </cell>
        </row>
        <row r="12">
          <cell r="B12" t="str">
            <v>MV Porcelain Post Insulators</v>
          </cell>
          <cell r="C12" t="str">
            <v>Nos</v>
          </cell>
          <cell r="D12">
            <v>949</v>
          </cell>
          <cell r="E12">
            <v>0</v>
          </cell>
          <cell r="F12">
            <v>0</v>
          </cell>
          <cell r="G12">
            <v>0</v>
          </cell>
          <cell r="H12">
            <v>949</v>
          </cell>
        </row>
        <row r="13">
          <cell r="B13" t="str">
            <v>Long rod composite Insulators</v>
          </cell>
          <cell r="C13" t="str">
            <v>Nos</v>
          </cell>
          <cell r="D13">
            <v>1247</v>
          </cell>
          <cell r="E13">
            <v>0</v>
          </cell>
          <cell r="F13">
            <v>0</v>
          </cell>
          <cell r="G13">
            <v>0</v>
          </cell>
          <cell r="H13">
            <v>1247</v>
          </cell>
        </row>
        <row r="14">
          <cell r="B14" t="str">
            <v>Wooden Pole 9 m</v>
          </cell>
          <cell r="C14" t="str">
            <v>Nos</v>
          </cell>
          <cell r="D14">
            <v>1027</v>
          </cell>
          <cell r="E14">
            <v>237</v>
          </cell>
          <cell r="F14">
            <v>0</v>
          </cell>
          <cell r="G14">
            <v>237</v>
          </cell>
          <cell r="H14">
            <v>790</v>
          </cell>
        </row>
        <row r="15">
          <cell r="B15" t="str">
            <v>6.6m Wood Pole</v>
          </cell>
          <cell r="C15" t="str">
            <v>Nos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LV-ABC 4x50+25 mm2</v>
          </cell>
          <cell r="C16" t="str">
            <v>m</v>
          </cell>
          <cell r="D16">
            <v>163440</v>
          </cell>
          <cell r="E16">
            <v>17440</v>
          </cell>
          <cell r="F16">
            <v>0</v>
          </cell>
          <cell r="G16">
            <v>17440</v>
          </cell>
          <cell r="H16">
            <v>146000</v>
          </cell>
        </row>
        <row r="17">
          <cell r="B17" t="str">
            <v>Single phase meter</v>
          </cell>
          <cell r="C17" t="str">
            <v>Nos</v>
          </cell>
          <cell r="D17">
            <v>35098</v>
          </cell>
          <cell r="E17">
            <v>7319</v>
          </cell>
          <cell r="F17">
            <v>2463</v>
          </cell>
          <cell r="G17">
            <v>9782</v>
          </cell>
          <cell r="H17">
            <v>25316</v>
          </cell>
        </row>
        <row r="18">
          <cell r="B18" t="str">
            <v>Three phase meter</v>
          </cell>
          <cell r="C18" t="str">
            <v>Nos</v>
          </cell>
          <cell r="D18">
            <v>1093</v>
          </cell>
          <cell r="E18">
            <v>0</v>
          </cell>
          <cell r="F18">
            <v>0</v>
          </cell>
          <cell r="G18">
            <v>0</v>
          </cell>
          <cell r="H18">
            <v>1093</v>
          </cell>
        </row>
        <row r="19">
          <cell r="B19" t="str">
            <v>Ready board</v>
          </cell>
          <cell r="C19" t="str">
            <v>Nos</v>
          </cell>
          <cell r="D19">
            <v>16153</v>
          </cell>
          <cell r="E19">
            <v>6708</v>
          </cell>
          <cell r="F19">
            <v>16</v>
          </cell>
          <cell r="G19">
            <v>6724</v>
          </cell>
          <cell r="H19">
            <v>9429</v>
          </cell>
        </row>
        <row r="20">
          <cell r="B20" t="str">
            <v>4 Ways Pole Top Box</v>
          </cell>
          <cell r="C20" t="str">
            <v>Nos</v>
          </cell>
          <cell r="D20">
            <v>2218</v>
          </cell>
          <cell r="E20">
            <v>852</v>
          </cell>
          <cell r="F20">
            <v>0</v>
          </cell>
          <cell r="G20">
            <v>852</v>
          </cell>
          <cell r="H20">
            <v>1366</v>
          </cell>
        </row>
        <row r="21">
          <cell r="B21" t="str">
            <v>2 Ways Pole Top Box</v>
          </cell>
          <cell r="C21" t="str">
            <v>Nos</v>
          </cell>
          <cell r="D21">
            <v>16120</v>
          </cell>
          <cell r="E21">
            <v>1274</v>
          </cell>
          <cell r="F21">
            <v>0</v>
          </cell>
          <cell r="G21">
            <v>1274</v>
          </cell>
          <cell r="H21">
            <v>14846</v>
          </cell>
        </row>
        <row r="22">
          <cell r="B22" t="str">
            <v>LV-ABC 2x10 mm2</v>
          </cell>
          <cell r="C22" t="str">
            <v>m</v>
          </cell>
          <cell r="D22">
            <v>1289999</v>
          </cell>
          <cell r="E22">
            <v>234000</v>
          </cell>
          <cell r="F22">
            <v>0</v>
          </cell>
          <cell r="G22">
            <v>234000</v>
          </cell>
          <cell r="H22">
            <v>1055999</v>
          </cell>
        </row>
        <row r="23">
          <cell r="B23" t="str">
            <v>LV-ABC 4x16 mm2</v>
          </cell>
          <cell r="C23" t="str">
            <v>m</v>
          </cell>
          <cell r="D23">
            <v>35000</v>
          </cell>
          <cell r="E23">
            <v>0</v>
          </cell>
          <cell r="F23">
            <v>0</v>
          </cell>
          <cell r="G23">
            <v>0</v>
          </cell>
          <cell r="H23">
            <v>35000</v>
          </cell>
        </row>
        <row r="24">
          <cell r="B24" t="str">
            <v>PC1 Connector</v>
          </cell>
          <cell r="C24" t="str">
            <v>Nos</v>
          </cell>
          <cell r="D24">
            <v>67888</v>
          </cell>
          <cell r="E24">
            <v>136</v>
          </cell>
          <cell r="F24">
            <v>0</v>
          </cell>
          <cell r="G24">
            <v>136</v>
          </cell>
          <cell r="H24">
            <v>67752</v>
          </cell>
        </row>
        <row r="25">
          <cell r="B25" t="str">
            <v>PC2 Connector</v>
          </cell>
          <cell r="C25" t="str">
            <v>Nos</v>
          </cell>
          <cell r="D25">
            <v>67888</v>
          </cell>
          <cell r="E25">
            <v>11398</v>
          </cell>
          <cell r="F25">
            <v>0</v>
          </cell>
          <cell r="G25">
            <v>11398</v>
          </cell>
          <cell r="H25">
            <v>56490</v>
          </cell>
        </row>
        <row r="26">
          <cell r="B26" t="str">
            <v>Tension Clamp 2x10mm2</v>
          </cell>
          <cell r="C26" t="str">
            <v>Nos</v>
          </cell>
          <cell r="D26">
            <v>66184</v>
          </cell>
          <cell r="E26">
            <v>14650</v>
          </cell>
          <cell r="F26">
            <v>0</v>
          </cell>
          <cell r="G26">
            <v>14650</v>
          </cell>
          <cell r="H26">
            <v>51534</v>
          </cell>
        </row>
        <row r="27">
          <cell r="B27" t="str">
            <v>Tension Clamp 4x16mm2</v>
          </cell>
          <cell r="C27" t="str">
            <v>Nos</v>
          </cell>
          <cell r="D27">
            <v>1704</v>
          </cell>
          <cell r="E27">
            <v>0</v>
          </cell>
          <cell r="F27">
            <v>0</v>
          </cell>
          <cell r="G27">
            <v>0</v>
          </cell>
          <cell r="H27">
            <v>1704</v>
          </cell>
        </row>
        <row r="28">
          <cell r="B28" t="str">
            <v>Street Light</v>
          </cell>
          <cell r="C28" t="str">
            <v>Nos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Street Light Arm</v>
          </cell>
          <cell r="C29" t="str">
            <v>Nos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ite"/>
      <sheetName val="other"/>
      <sheetName val="summary"/>
      <sheetName val="Planilha1"/>
    </sheetNames>
    <sheetDataSet>
      <sheetData sheetId="0"/>
      <sheetData sheetId="1"/>
      <sheetData sheetId="2">
        <row r="3">
          <cell r="B3" t="str">
            <v>12 m Wood Pole Top Diameter 220 mm</v>
          </cell>
          <cell r="C3" t="str">
            <v>Nos</v>
          </cell>
          <cell r="D3">
            <v>251</v>
          </cell>
          <cell r="E3">
            <v>5</v>
          </cell>
          <cell r="F3">
            <v>0</v>
          </cell>
          <cell r="G3">
            <v>5</v>
          </cell>
          <cell r="H3">
            <v>246</v>
          </cell>
        </row>
        <row r="4">
          <cell r="B4" t="str">
            <v>12 m Wood Pole Top Diameter 200 mm</v>
          </cell>
          <cell r="C4" t="str">
            <v>Nos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Steel lattice Pole 11m</v>
          </cell>
          <cell r="C5" t="str">
            <v>Nos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Steel lattice Pole 9m</v>
          </cell>
          <cell r="C6" t="str">
            <v>Nos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Conductor AAAC - Mulberry</v>
          </cell>
          <cell r="C7" t="str">
            <v>m</v>
          </cell>
          <cell r="D7">
            <v>471865</v>
          </cell>
          <cell r="E7">
            <v>0</v>
          </cell>
          <cell r="F7">
            <v>15000</v>
          </cell>
          <cell r="G7">
            <v>15000</v>
          </cell>
          <cell r="H7">
            <v>456865</v>
          </cell>
        </row>
        <row r="8">
          <cell r="B8" t="str">
            <v>Transformer 33kV/0.4kV</v>
          </cell>
          <cell r="C8" t="str">
            <v>Nos</v>
          </cell>
          <cell r="D8">
            <v>6</v>
          </cell>
          <cell r="E8">
            <v>0</v>
          </cell>
          <cell r="F8">
            <v>0</v>
          </cell>
          <cell r="G8">
            <v>0</v>
          </cell>
          <cell r="H8">
            <v>6</v>
          </cell>
        </row>
        <row r="9">
          <cell r="B9" t="str">
            <v>Transformer 22kV/0.4kV</v>
          </cell>
          <cell r="C9" t="str">
            <v>Nos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Transformer 11 kV/0.4kV</v>
          </cell>
          <cell r="C10" t="str">
            <v>Nos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LV Distribuition Board</v>
          </cell>
          <cell r="C11" t="str">
            <v>Nos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MV Porcelain Post Insulators</v>
          </cell>
          <cell r="C12" t="str">
            <v>Nos</v>
          </cell>
          <cell r="D12">
            <v>867</v>
          </cell>
          <cell r="E12">
            <v>0</v>
          </cell>
          <cell r="F12">
            <v>0</v>
          </cell>
          <cell r="G12">
            <v>0</v>
          </cell>
          <cell r="H12">
            <v>867</v>
          </cell>
        </row>
        <row r="13">
          <cell r="B13" t="str">
            <v>Long rod composite Insulators</v>
          </cell>
          <cell r="C13" t="str">
            <v>Nos</v>
          </cell>
          <cell r="D13">
            <v>979</v>
          </cell>
          <cell r="E13">
            <v>0</v>
          </cell>
          <cell r="F13">
            <v>0</v>
          </cell>
          <cell r="G13">
            <v>0</v>
          </cell>
          <cell r="H13">
            <v>979</v>
          </cell>
        </row>
        <row r="14">
          <cell r="B14" t="str">
            <v>Wooden Pole 9 m</v>
          </cell>
          <cell r="C14" t="str">
            <v>Nos</v>
          </cell>
          <cell r="D14">
            <v>1527</v>
          </cell>
          <cell r="E14">
            <v>66</v>
          </cell>
          <cell r="F14">
            <v>400</v>
          </cell>
          <cell r="G14">
            <v>466</v>
          </cell>
          <cell r="H14">
            <v>1061</v>
          </cell>
        </row>
        <row r="15">
          <cell r="B15" t="str">
            <v>6.6m Wood Pole</v>
          </cell>
          <cell r="C15" t="str">
            <v>Nos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LV-ABC 4x50+25 mm2</v>
          </cell>
          <cell r="C16" t="str">
            <v>m</v>
          </cell>
          <cell r="D16">
            <v>143000</v>
          </cell>
          <cell r="E16">
            <v>0</v>
          </cell>
          <cell r="F16">
            <v>19505</v>
          </cell>
          <cell r="G16">
            <v>19505</v>
          </cell>
          <cell r="H16">
            <v>123495</v>
          </cell>
        </row>
        <row r="17">
          <cell r="B17" t="str">
            <v>Single phase meter</v>
          </cell>
          <cell r="C17" t="str">
            <v>Nos</v>
          </cell>
          <cell r="D17">
            <v>32267</v>
          </cell>
          <cell r="E17">
            <v>6771</v>
          </cell>
          <cell r="F17">
            <v>0</v>
          </cell>
          <cell r="G17">
            <v>6771</v>
          </cell>
          <cell r="H17">
            <v>25496</v>
          </cell>
        </row>
        <row r="18">
          <cell r="B18" t="str">
            <v>Three phase meter</v>
          </cell>
          <cell r="C18" t="str">
            <v>Nos</v>
          </cell>
          <cell r="D18">
            <v>1132</v>
          </cell>
          <cell r="E18">
            <v>0</v>
          </cell>
          <cell r="F18">
            <v>0</v>
          </cell>
          <cell r="G18">
            <v>0</v>
          </cell>
          <cell r="H18">
            <v>1132</v>
          </cell>
        </row>
        <row r="19">
          <cell r="B19" t="str">
            <v>Ready board</v>
          </cell>
          <cell r="C19" t="str">
            <v>Nos</v>
          </cell>
          <cell r="D19">
            <v>16147</v>
          </cell>
          <cell r="E19">
            <v>4867</v>
          </cell>
          <cell r="F19">
            <v>0</v>
          </cell>
          <cell r="G19">
            <v>4867</v>
          </cell>
          <cell r="H19">
            <v>11280</v>
          </cell>
        </row>
        <row r="20">
          <cell r="B20" t="str">
            <v>4 Ways Pole Top Box</v>
          </cell>
          <cell r="C20" t="str">
            <v>Nos</v>
          </cell>
          <cell r="D20">
            <v>2381</v>
          </cell>
          <cell r="E20">
            <v>553</v>
          </cell>
          <cell r="F20">
            <v>0</v>
          </cell>
          <cell r="G20">
            <v>553</v>
          </cell>
          <cell r="H20">
            <v>1828</v>
          </cell>
        </row>
        <row r="21">
          <cell r="B21" t="str">
            <v>2 Ways Pole Top Box</v>
          </cell>
          <cell r="C21" t="str">
            <v>Nos</v>
          </cell>
          <cell r="D21">
            <v>16120</v>
          </cell>
          <cell r="E21">
            <v>1227</v>
          </cell>
          <cell r="F21">
            <v>0</v>
          </cell>
          <cell r="G21">
            <v>1227</v>
          </cell>
          <cell r="H21">
            <v>14893</v>
          </cell>
        </row>
        <row r="22">
          <cell r="B22" t="str">
            <v>LV-ABC 2x10 mm2</v>
          </cell>
          <cell r="C22" t="str">
            <v>m</v>
          </cell>
          <cell r="D22">
            <v>1078473</v>
          </cell>
          <cell r="E22">
            <v>215916</v>
          </cell>
          <cell r="F22">
            <v>450000</v>
          </cell>
          <cell r="G22">
            <v>665916</v>
          </cell>
          <cell r="H22">
            <v>412557</v>
          </cell>
        </row>
        <row r="23">
          <cell r="B23" t="str">
            <v>LV-ABC 4x16 mm2</v>
          </cell>
          <cell r="C23" t="str">
            <v>m</v>
          </cell>
          <cell r="D23">
            <v>35000</v>
          </cell>
          <cell r="E23">
            <v>0</v>
          </cell>
          <cell r="F23">
            <v>0</v>
          </cell>
          <cell r="G23">
            <v>0</v>
          </cell>
          <cell r="H23">
            <v>35000</v>
          </cell>
        </row>
        <row r="24">
          <cell r="B24" t="str">
            <v>PC1 Connector</v>
          </cell>
          <cell r="C24" t="str">
            <v>Nos</v>
          </cell>
          <cell r="D24">
            <v>67888</v>
          </cell>
          <cell r="E24">
            <v>52</v>
          </cell>
          <cell r="F24">
            <v>0</v>
          </cell>
          <cell r="G24">
            <v>52</v>
          </cell>
          <cell r="H24">
            <v>67836</v>
          </cell>
        </row>
        <row r="25">
          <cell r="B25" t="str">
            <v>PC2 Connector</v>
          </cell>
          <cell r="C25" t="str">
            <v>Nos</v>
          </cell>
          <cell r="D25">
            <v>67888</v>
          </cell>
          <cell r="E25">
            <v>3668</v>
          </cell>
          <cell r="F25">
            <v>0</v>
          </cell>
          <cell r="G25">
            <v>3668</v>
          </cell>
          <cell r="H25">
            <v>64220</v>
          </cell>
        </row>
        <row r="26">
          <cell r="B26" t="str">
            <v>Tension Clamp 2x10mm2</v>
          </cell>
          <cell r="C26" t="str">
            <v>Nos</v>
          </cell>
          <cell r="D26">
            <v>56468</v>
          </cell>
          <cell r="E26">
            <v>13504</v>
          </cell>
          <cell r="F26">
            <v>0</v>
          </cell>
          <cell r="G26">
            <v>13504</v>
          </cell>
          <cell r="H26">
            <v>42964</v>
          </cell>
        </row>
        <row r="27">
          <cell r="B27" t="str">
            <v>Tension Clamp 4x16mm2</v>
          </cell>
          <cell r="C27" t="str">
            <v>Nos</v>
          </cell>
          <cell r="D27">
            <v>242</v>
          </cell>
          <cell r="E27">
            <v>0</v>
          </cell>
          <cell r="F27">
            <v>0</v>
          </cell>
          <cell r="G27">
            <v>0</v>
          </cell>
          <cell r="H27">
            <v>242</v>
          </cell>
        </row>
        <row r="28">
          <cell r="B28" t="str">
            <v>Street Light</v>
          </cell>
          <cell r="C28" t="str">
            <v>Nos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Street Light Arm</v>
          </cell>
          <cell r="C29" t="str">
            <v>Nos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F32BF-8823-45DA-B89C-62B8CE61F4C2}" name="Tabela1" displayName="Tabela1" ref="A2:I29" totalsRowShown="0" headerRowDxfId="10" dataDxfId="9" dataCellStyle="Vírgula">
  <autoFilter ref="A2:I29" xr:uid="{2CFF32BF-8823-45DA-B89C-62B8CE61F4C2}"/>
  <tableColumns count="9">
    <tableColumn id="1" xr3:uid="{7BD3F2B5-3BFA-4A4E-9D84-7213B9C39DE3}" name="No." dataDxfId="8"/>
    <tableColumn id="2" xr3:uid="{B908E843-DC27-492B-9E61-062B366F34DB}" name="SKU" dataDxfId="7"/>
    <tableColumn id="3" xr3:uid="{4095271F-F27B-4888-BD40-BA427EA9A146}" name="Description" dataDxfId="6"/>
    <tableColumn id="4" xr3:uid="{6A8D86F0-05AA-4428-8D5B-09652DD5AABB}" name="Un" dataDxfId="5"/>
    <tableColumn id="5" xr3:uid="{905372E0-89BA-43B9-A7CE-2524C1CBB797}" name="Nampula" dataDxfId="4" dataCellStyle="Vírgula">
      <calculatedColumnFormula>VLOOKUP(C3,[1]summary!B$3:H$29,7,0)</calculatedColumnFormula>
    </tableColumn>
    <tableColumn id="6" xr3:uid="{80A54F17-B30B-41FC-A034-85C08DFC9CA5}" name="Nacala" dataDxfId="3" dataCellStyle="Vírgula">
      <calculatedColumnFormula>VLOOKUP(C3,[2]summary!B$3:H$29,7,0)</calculatedColumnFormula>
    </tableColumn>
    <tableColumn id="7" xr3:uid="{02BFF058-E0D6-42F0-B9F3-8D218CB3EF9B}" name="Angoche*" dataDxfId="2" dataCellStyle="Vírgula">
      <calculatedColumnFormula>VLOOKUP(C3,[3]summary!$B$3:$H$29,7,0)</calculatedColumnFormula>
    </tableColumn>
    <tableColumn id="8" xr3:uid="{9DBEF4B8-9A47-45B0-A814-6F49B1C6FF41}" name="Lichinga" dataDxfId="1" dataCellStyle="Vírgula">
      <calculatedColumnFormula>VLOOKUP(C3,[4]summary!B$3:H$29,7,0)</calculatedColumnFormula>
    </tableColumn>
    <tableColumn id="9" xr3:uid="{EC4CC840-6F51-42FF-8DD9-02887462D975}" name="Cuamba" dataDxfId="0" dataCellStyle="Vírgula">
      <calculatedColumnFormula>VLOOKUP(C3,[5]summary!B$3:H$29,7,0)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2866-041D-4D02-8A94-829C7E3E9676}">
  <dimension ref="A1:Q75"/>
  <sheetViews>
    <sheetView tabSelected="1" zoomScaleNormal="100" workbookViewId="0">
      <selection activeCell="H6" sqref="H6"/>
    </sheetView>
  </sheetViews>
  <sheetFormatPr defaultRowHeight="15" x14ac:dyDescent="0.25"/>
  <cols>
    <col min="1" max="1" width="6.42578125" style="3" bestFit="1" customWidth="1"/>
    <col min="2" max="2" width="19.85546875" style="3" bestFit="1" customWidth="1"/>
    <col min="3" max="3" width="35.85546875" style="3" bestFit="1" customWidth="1"/>
    <col min="4" max="4" width="5.7109375" style="3" customWidth="1"/>
    <col min="5" max="5" width="14.85546875" style="3" bestFit="1" customWidth="1"/>
    <col min="6" max="6" width="13" style="3" bestFit="1" customWidth="1"/>
    <col min="7" max="7" width="15.28515625" style="3" bestFit="1" customWidth="1"/>
    <col min="8" max="8" width="14.85546875" style="3" bestFit="1" customWidth="1"/>
    <col min="9" max="9" width="14.28515625" style="3" bestFit="1" customWidth="1"/>
    <col min="10" max="10" width="9.140625" style="3"/>
    <col min="11" max="11" width="11.5703125" style="3" bestFit="1" customWidth="1"/>
    <col min="12" max="12" width="9.140625" style="3"/>
    <col min="13" max="13" width="9.5703125" style="3" bestFit="1" customWidth="1"/>
    <col min="14" max="14" width="9.140625" style="3"/>
    <col min="15" max="15" width="23.28515625" style="3" bestFit="1" customWidth="1"/>
    <col min="16" max="16" width="4.42578125" style="3" bestFit="1" customWidth="1"/>
    <col min="17" max="17" width="9" style="3" bestFit="1" customWidth="1"/>
    <col min="18" max="16384" width="9.140625" style="3"/>
  </cols>
  <sheetData>
    <row r="1" spans="1:17" ht="30" customHeight="1" x14ac:dyDescent="0.25">
      <c r="A1" s="1" t="s">
        <v>68</v>
      </c>
      <c r="B1" s="2"/>
      <c r="C1" s="2"/>
      <c r="D1" s="2"/>
      <c r="E1" s="2"/>
      <c r="F1" s="2"/>
      <c r="G1" s="2"/>
      <c r="H1" s="2"/>
      <c r="I1" s="2"/>
    </row>
    <row r="2" spans="1:17" x14ac:dyDescent="0.25">
      <c r="A2" s="4" t="s">
        <v>7</v>
      </c>
      <c r="B2" s="4" t="s">
        <v>0</v>
      </c>
      <c r="C2" s="4" t="s">
        <v>1</v>
      </c>
      <c r="D2" s="4" t="s">
        <v>2</v>
      </c>
      <c r="E2" s="17" t="s">
        <v>3</v>
      </c>
      <c r="F2" s="17" t="s">
        <v>4</v>
      </c>
      <c r="G2" s="17" t="s">
        <v>69</v>
      </c>
      <c r="H2" s="17" t="s">
        <v>5</v>
      </c>
      <c r="I2" s="17" t="s">
        <v>6</v>
      </c>
      <c r="K2" s="18" t="s">
        <v>64</v>
      </c>
      <c r="L2" s="18"/>
      <c r="M2" s="18"/>
    </row>
    <row r="3" spans="1:17" x14ac:dyDescent="0.25">
      <c r="A3" s="5">
        <v>1</v>
      </c>
      <c r="B3" s="3" t="s">
        <v>38</v>
      </c>
      <c r="C3" s="3" t="s">
        <v>8</v>
      </c>
      <c r="D3" s="3" t="s">
        <v>35</v>
      </c>
      <c r="E3" s="6">
        <f>VLOOKUP(C3,[1]summary!B$3:H$29,7,0)</f>
        <v>0</v>
      </c>
      <c r="F3" s="6">
        <f>VLOOKUP(C3,[2]summary!B$3:H$29,7,0)</f>
        <v>231</v>
      </c>
      <c r="G3" s="6">
        <f>VLOOKUP(C3,[3]summary!$B$3:$H$29,7,0)</f>
        <v>108</v>
      </c>
      <c r="H3" s="6">
        <f>VLOOKUP(C3,[4]summary!B$3:H$29,7,0)</f>
        <v>318</v>
      </c>
      <c r="I3" s="6">
        <f>VLOOKUP(C3,[5]summary!B$3:H$29,7,0)</f>
        <v>248</v>
      </c>
      <c r="K3" s="18"/>
      <c r="L3" s="18" t="str">
        <f>_xlfn.IFNA(VLOOKUP(Tabela1[[#This Row],[Description]],$G$32:$I$42,3,0),"")</f>
        <v/>
      </c>
      <c r="M3" s="19" t="str">
        <f>_xlfn.IFNA(VLOOKUP(Tabela1[[#This Row],[Description]],$L$32:$N$42,3,0),"")</f>
        <v/>
      </c>
      <c r="N3" s="7" t="str">
        <f>_xlfn.IFNA(VLOOKUP(Tabela1[[#This Row],[Description]],$B$46:$D$53,3,0),"")</f>
        <v/>
      </c>
      <c r="O3" s="7"/>
      <c r="P3" s="7"/>
    </row>
    <row r="4" spans="1:17" x14ac:dyDescent="0.25">
      <c r="A4" s="5">
        <v>2</v>
      </c>
      <c r="B4" s="3" t="s">
        <v>39</v>
      </c>
      <c r="C4" s="3" t="s">
        <v>9</v>
      </c>
      <c r="D4" s="3" t="s">
        <v>35</v>
      </c>
      <c r="E4" s="6">
        <f>VLOOKUP(C4,[1]summary!B$3:H$29,7,0)</f>
        <v>791</v>
      </c>
      <c r="F4" s="6">
        <f>VLOOKUP(C4,[2]summary!B$3:H$29,7,0)</f>
        <v>0</v>
      </c>
      <c r="G4" s="6">
        <f>VLOOKUP(C4,[3]summary!$B$3:$H$29,7,0)</f>
        <v>30</v>
      </c>
      <c r="H4" s="6">
        <f>VLOOKUP(C4,[4]summary!B$3:H$29,7,0)</f>
        <v>0</v>
      </c>
      <c r="I4" s="6">
        <f>VLOOKUP(C4,[5]summary!B$3:H$29,7,0)</f>
        <v>0</v>
      </c>
      <c r="K4" s="18"/>
      <c r="L4" s="18" t="str">
        <f>_xlfn.IFNA(VLOOKUP(Tabela1[[#This Row],[Description]],$G$32:$I$42,3,0),"")</f>
        <v/>
      </c>
      <c r="M4" s="19" t="str">
        <f>_xlfn.IFNA(VLOOKUP(Tabela1[[#This Row],[Description]],$L$32:$N$42,3,0),"")</f>
        <v/>
      </c>
      <c r="N4" s="7" t="str">
        <f>_xlfn.IFNA(VLOOKUP(Tabela1[[#This Row],[Description]],$B$46:$D$53,3,0),"")</f>
        <v/>
      </c>
      <c r="O4" s="7"/>
      <c r="P4" s="7"/>
    </row>
    <row r="5" spans="1:17" x14ac:dyDescent="0.25">
      <c r="A5" s="5">
        <v>3</v>
      </c>
      <c r="B5" s="3" t="s">
        <v>40</v>
      </c>
      <c r="C5" s="3" t="s">
        <v>10</v>
      </c>
      <c r="D5" s="3" t="s">
        <v>35</v>
      </c>
      <c r="E5" s="6">
        <f>VLOOKUP(C5,[1]summary!B$3:H$29,7,0)</f>
        <v>150</v>
      </c>
      <c r="F5" s="6">
        <f>VLOOKUP(C5,[2]summary!B$3:H$29,7,0)</f>
        <v>20</v>
      </c>
      <c r="G5" s="6">
        <f>VLOOKUP(C5,[3]summary!$B$3:$H$29,7,0)</f>
        <v>0</v>
      </c>
      <c r="H5" s="6">
        <f>VLOOKUP(C5,[4]summary!B$3:H$29,7,0)</f>
        <v>0</v>
      </c>
      <c r="I5" s="6">
        <f>VLOOKUP(C5,[5]summary!B$3:H$29,7,0)</f>
        <v>0</v>
      </c>
      <c r="K5" s="18"/>
      <c r="L5" s="18" t="str">
        <f>_xlfn.IFNA(VLOOKUP(Tabela1[[#This Row],[Description]],$G$32:$I$42,3,0),"")</f>
        <v/>
      </c>
      <c r="M5" s="19" t="str">
        <f>_xlfn.IFNA(VLOOKUP(Tabela1[[#This Row],[Description]],$L$32:$N$42,3,0),"")</f>
        <v/>
      </c>
      <c r="N5" s="7" t="str">
        <f>_xlfn.IFNA(VLOOKUP(Tabela1[[#This Row],[Description]],$B$46:$D$53,3,0),"")</f>
        <v/>
      </c>
      <c r="O5" s="7"/>
      <c r="P5" s="7"/>
    </row>
    <row r="6" spans="1:17" x14ac:dyDescent="0.25">
      <c r="A6" s="5">
        <v>4</v>
      </c>
      <c r="B6" s="3" t="s">
        <v>41</v>
      </c>
      <c r="C6" s="3" t="s">
        <v>11</v>
      </c>
      <c r="D6" s="3" t="s">
        <v>35</v>
      </c>
      <c r="E6" s="6">
        <f>VLOOKUP(C6,[1]summary!B$3:H$29,7,0)</f>
        <v>100</v>
      </c>
      <c r="F6" s="6">
        <f>VLOOKUP(C6,[2]summary!B$3:H$29,7,0)</f>
        <v>100</v>
      </c>
      <c r="G6" s="6">
        <f>VLOOKUP(C6,[3]summary!$B$3:$H$29,7,0)</f>
        <v>0</v>
      </c>
      <c r="H6" s="6">
        <f>VLOOKUP(C6,[4]summary!B$3:H$29,7,0)</f>
        <v>0</v>
      </c>
      <c r="I6" s="6">
        <f>VLOOKUP(C6,[5]summary!B$3:H$29,7,0)</f>
        <v>0</v>
      </c>
      <c r="K6" s="18"/>
      <c r="L6" s="18" t="str">
        <f>_xlfn.IFNA(VLOOKUP(Tabela1[[#This Row],[Description]],$G$32:$I$42,3,0),"")</f>
        <v/>
      </c>
      <c r="M6" s="19" t="str">
        <f>_xlfn.IFNA(VLOOKUP(Tabela1[[#This Row],[Description]],$L$32:$N$42,3,0),"")</f>
        <v/>
      </c>
      <c r="N6" s="7" t="str">
        <f>_xlfn.IFNA(VLOOKUP(Tabela1[[#This Row],[Description]],$B$46:$D$53,3,0),"")</f>
        <v/>
      </c>
      <c r="O6" s="7"/>
      <c r="P6" s="7"/>
    </row>
    <row r="7" spans="1:17" x14ac:dyDescent="0.25">
      <c r="A7" s="5">
        <v>5</v>
      </c>
      <c r="B7" s="3" t="s">
        <v>42</v>
      </c>
      <c r="C7" s="3" t="s">
        <v>12</v>
      </c>
      <c r="D7" s="3" t="s">
        <v>36</v>
      </c>
      <c r="E7" s="6">
        <f>VLOOKUP(C7,[1]summary!B$3:H$29,7,0)</f>
        <v>235150</v>
      </c>
      <c r="F7" s="6">
        <f>VLOOKUP(C7,[2]summary!B$3:H$29,7,0)</f>
        <v>103886</v>
      </c>
      <c r="G7" s="6">
        <f>VLOOKUP(C7,[3]summary!$B$3:$H$29,7,0)</f>
        <v>37121</v>
      </c>
      <c r="H7" s="6">
        <f>VLOOKUP(C7,[4]summary!B$3:H$29,7,0)</f>
        <v>479600</v>
      </c>
      <c r="I7" s="6">
        <f>VLOOKUP(C7,[5]summary!B$3:H$29,7,0)</f>
        <v>456865</v>
      </c>
      <c r="K7" s="18"/>
      <c r="L7" s="18" t="str">
        <f>_xlfn.IFNA(VLOOKUP(Tabela1[[#This Row],[Description]],$G$32:$I$42,3,0),"")</f>
        <v/>
      </c>
      <c r="M7" s="19" t="str">
        <f>_xlfn.IFNA(VLOOKUP(Tabela1[[#This Row],[Description]],$L$32:$N$42,3,0),"")</f>
        <v/>
      </c>
      <c r="N7" s="7" t="str">
        <f>_xlfn.IFNA(VLOOKUP(Tabela1[[#This Row],[Description]],$B$46:$D$53,3,0),"")</f>
        <v/>
      </c>
      <c r="O7" s="7"/>
      <c r="P7" s="7"/>
    </row>
    <row r="8" spans="1:17" x14ac:dyDescent="0.25">
      <c r="A8" s="5">
        <v>6</v>
      </c>
      <c r="B8" s="3" t="s">
        <v>43</v>
      </c>
      <c r="C8" s="3" t="s">
        <v>13</v>
      </c>
      <c r="D8" s="3" t="s">
        <v>35</v>
      </c>
      <c r="E8" s="6">
        <f>VLOOKUP(C8,[1]summary!B$3:H$29,7,0)</f>
        <v>14</v>
      </c>
      <c r="F8" s="6">
        <f>VLOOKUP(C8,[2]summary!B$3:H$29,7,0)</f>
        <v>1</v>
      </c>
      <c r="G8" s="6">
        <f>VLOOKUP(C8,[3]summary!$B$3:$H$29,7,0)</f>
        <v>1</v>
      </c>
      <c r="H8" s="6">
        <f>VLOOKUP(C8,[4]summary!B$3:H$29,7,0)</f>
        <v>9</v>
      </c>
      <c r="I8" s="6">
        <f>VLOOKUP(C8,[5]summary!B$3:H$29,7,0)</f>
        <v>6</v>
      </c>
      <c r="K8" s="18"/>
      <c r="L8" s="18" t="str">
        <f>_xlfn.IFNA(VLOOKUP(Tabela1[[#This Row],[Description]],$G$32:$I$42,3,0),"")</f>
        <v/>
      </c>
      <c r="M8" s="19" t="str">
        <f>_xlfn.IFNA(VLOOKUP(Tabela1[[#This Row],[Description]],$L$32:$N$42,3,0),"")</f>
        <v/>
      </c>
      <c r="N8" s="7" t="str">
        <f>_xlfn.IFNA(VLOOKUP(Tabela1[[#This Row],[Description]],$B$46:$D$53,3,0),"")</f>
        <v/>
      </c>
      <c r="O8" s="7"/>
      <c r="P8" s="7"/>
    </row>
    <row r="9" spans="1:17" x14ac:dyDescent="0.25">
      <c r="A9" s="5">
        <v>7</v>
      </c>
      <c r="B9" s="3" t="s">
        <v>44</v>
      </c>
      <c r="C9" s="3" t="s">
        <v>14</v>
      </c>
      <c r="D9" s="3" t="s">
        <v>35</v>
      </c>
      <c r="E9" s="6">
        <f>VLOOKUP(C9,[1]summary!B$3:H$29,7,0)</f>
        <v>0</v>
      </c>
      <c r="F9" s="6">
        <f>VLOOKUP(C9,[2]summary!B$3:H$29,7,0)</f>
        <v>0</v>
      </c>
      <c r="G9" s="6">
        <f>VLOOKUP(C9,[3]summary!$B$3:$H$29,7,0)</f>
        <v>4</v>
      </c>
      <c r="H9" s="6">
        <f>VLOOKUP(C9,[4]summary!B$3:H$29,7,0)</f>
        <v>0</v>
      </c>
      <c r="I9" s="6">
        <f>VLOOKUP(C9,[5]summary!B$3:H$29,7,0)</f>
        <v>0</v>
      </c>
      <c r="K9" s="18"/>
      <c r="L9" s="18" t="str">
        <f>_xlfn.IFNA(VLOOKUP(Tabela1[[#This Row],[Description]],$G$32:$I$42,3,0),"")</f>
        <v/>
      </c>
      <c r="M9" s="19" t="str">
        <f>_xlfn.IFNA(VLOOKUP(Tabela1[[#This Row],[Description]],$L$32:$N$42,3,0),"")</f>
        <v/>
      </c>
      <c r="N9" s="7" t="str">
        <f>_xlfn.IFNA(VLOOKUP(Tabela1[[#This Row],[Description]],$B$46:$D$53,3,0),"")</f>
        <v/>
      </c>
      <c r="O9" s="7"/>
      <c r="P9" s="7"/>
    </row>
    <row r="10" spans="1:17" x14ac:dyDescent="0.25">
      <c r="A10" s="5">
        <v>8</v>
      </c>
      <c r="B10" s="3" t="s">
        <v>45</v>
      </c>
      <c r="C10" s="3" t="s">
        <v>15</v>
      </c>
      <c r="D10" s="3" t="s">
        <v>35</v>
      </c>
      <c r="E10" s="6">
        <f>VLOOKUP(C10,[1]summary!B$3:H$29,7,0)</f>
        <v>0</v>
      </c>
      <c r="F10" s="6">
        <f>VLOOKUP(C10,[2]summary!B$3:H$29,7,0)</f>
        <v>0</v>
      </c>
      <c r="G10" s="6">
        <f>VLOOKUP(C10,[3]summary!$B$3:$H$29,7,0)</f>
        <v>0</v>
      </c>
      <c r="H10" s="6">
        <f>VLOOKUP(C10,[4]summary!B$3:H$29,7,0)</f>
        <v>0</v>
      </c>
      <c r="I10" s="6">
        <f>VLOOKUP(C10,[5]summary!B$3:H$29,7,0)</f>
        <v>0</v>
      </c>
      <c r="K10" s="18"/>
      <c r="L10" s="18" t="str">
        <f>_xlfn.IFNA(VLOOKUP(Tabela1[[#This Row],[Description]],$G$32:$I$42,3,0),"")</f>
        <v/>
      </c>
      <c r="M10" s="19" t="str">
        <f>_xlfn.IFNA(VLOOKUP(Tabela1[[#This Row],[Description]],$L$32:$N$42,3,0),"")</f>
        <v/>
      </c>
      <c r="N10" s="7" t="str">
        <f>_xlfn.IFNA(VLOOKUP(Tabela1[[#This Row],[Description]],$B$46:$D$53,3,0),"")</f>
        <v/>
      </c>
      <c r="O10" s="7"/>
      <c r="P10" s="7"/>
    </row>
    <row r="11" spans="1:17" x14ac:dyDescent="0.25">
      <c r="A11" s="5">
        <v>9</v>
      </c>
      <c r="B11" s="3" t="s">
        <v>46</v>
      </c>
      <c r="C11" s="3" t="s">
        <v>16</v>
      </c>
      <c r="D11" s="3" t="s">
        <v>35</v>
      </c>
      <c r="E11" s="6">
        <f>VLOOKUP(C11,[1]summary!B$3:H$29,7,0)</f>
        <v>18</v>
      </c>
      <c r="F11" s="6">
        <f>VLOOKUP(C11,[2]summary!B$3:H$29,7,0)</f>
        <v>4</v>
      </c>
      <c r="G11" s="6">
        <f>VLOOKUP(C11,[3]summary!$B$3:$H$29,7,0)</f>
        <v>0</v>
      </c>
      <c r="H11" s="6">
        <f>VLOOKUP(C11,[4]summary!B$3:H$29,7,0)</f>
        <v>9</v>
      </c>
      <c r="I11" s="6">
        <f>VLOOKUP(C11,[5]summary!B$3:H$29,7,0)</f>
        <v>0</v>
      </c>
      <c r="K11" s="18"/>
      <c r="L11" s="18" t="str">
        <f>_xlfn.IFNA(VLOOKUP(Tabela1[[#This Row],[Description]],$G$32:$I$42,3,0),"")</f>
        <v/>
      </c>
      <c r="M11" s="19" t="str">
        <f>_xlfn.IFNA(VLOOKUP(Tabela1[[#This Row],[Description]],$L$32:$N$42,3,0),"")</f>
        <v/>
      </c>
      <c r="N11" s="7" t="str">
        <f>_xlfn.IFNA(VLOOKUP(Tabela1[[#This Row],[Description]],$B$46:$D$53,3,0),"")</f>
        <v/>
      </c>
      <c r="O11" s="7"/>
      <c r="P11" s="7"/>
    </row>
    <row r="12" spans="1:17" x14ac:dyDescent="0.25">
      <c r="A12" s="5">
        <v>10</v>
      </c>
      <c r="B12" s="3" t="s">
        <v>47</v>
      </c>
      <c r="C12" s="3" t="s">
        <v>17</v>
      </c>
      <c r="D12" s="3" t="s">
        <v>35</v>
      </c>
      <c r="E12" s="6">
        <f>VLOOKUP(C12,[1]summary!B$3:H$29,7,0)</f>
        <v>314</v>
      </c>
      <c r="F12" s="6">
        <f>VLOOKUP(C12,[2]summary!B$3:H$29,7,0)</f>
        <v>2003</v>
      </c>
      <c r="G12" s="6">
        <f>VLOOKUP(C12,[3]summary!$B$3:$H$29,7,0)</f>
        <v>793</v>
      </c>
      <c r="H12" s="6">
        <f>VLOOKUP(C12,[4]summary!B$3:H$29,7,0)</f>
        <v>949</v>
      </c>
      <c r="I12" s="6">
        <f>VLOOKUP(C12,[5]summary!B$3:H$29,7,0)</f>
        <v>867</v>
      </c>
      <c r="K12" s="18"/>
      <c r="L12" s="18" t="str">
        <f>_xlfn.IFNA(VLOOKUP(Tabela1[[#This Row],[Description]],$G$32:$I$42,3,0),"")</f>
        <v/>
      </c>
      <c r="M12" s="19" t="str">
        <f>_xlfn.IFNA(VLOOKUP(Tabela1[[#This Row],[Description]],$L$32:$N$42,3,0),"")</f>
        <v/>
      </c>
      <c r="N12" s="7" t="str">
        <f>_xlfn.IFNA(VLOOKUP(Tabela1[[#This Row],[Description]],$B$46:$D$53,3,0),"")</f>
        <v/>
      </c>
      <c r="O12" s="7"/>
      <c r="P12" s="7"/>
    </row>
    <row r="13" spans="1:17" x14ac:dyDescent="0.25">
      <c r="A13" s="5">
        <v>11</v>
      </c>
      <c r="B13" s="3" t="s">
        <v>48</v>
      </c>
      <c r="C13" s="3" t="s">
        <v>18</v>
      </c>
      <c r="D13" s="3" t="s">
        <v>35</v>
      </c>
      <c r="E13" s="6">
        <f>VLOOKUP(C13,[1]summary!B$3:H$29,7,0)</f>
        <v>1376</v>
      </c>
      <c r="F13" s="6">
        <f>VLOOKUP(C13,[2]summary!B$3:H$29,7,0)</f>
        <v>1094</v>
      </c>
      <c r="G13" s="6">
        <f>VLOOKUP(C13,[3]summary!$B$3:$H$29,7,0)</f>
        <v>57</v>
      </c>
      <c r="H13" s="6">
        <f>VLOOKUP(C13,[4]summary!B$3:H$29,7,0)</f>
        <v>1247</v>
      </c>
      <c r="I13" s="6">
        <f>VLOOKUP(C13,[5]summary!B$3:H$29,7,0)</f>
        <v>979</v>
      </c>
      <c r="K13" s="18"/>
      <c r="L13" s="18" t="str">
        <f>_xlfn.IFNA(VLOOKUP(Tabela1[[#This Row],[Description]],$G$32:$I$42,3,0),"")</f>
        <v/>
      </c>
      <c r="M13" s="19" t="str">
        <f>_xlfn.IFNA(VLOOKUP(Tabela1[[#This Row],[Description]],$L$32:$N$42,3,0),"")</f>
        <v/>
      </c>
      <c r="N13" s="7" t="str">
        <f>_xlfn.IFNA(VLOOKUP(Tabela1[[#This Row],[Description]],$B$46:$D$53,3,0),"")</f>
        <v/>
      </c>
      <c r="O13" s="7"/>
      <c r="P13" s="7"/>
    </row>
    <row r="14" spans="1:17" x14ac:dyDescent="0.25">
      <c r="A14" s="5">
        <v>12</v>
      </c>
      <c r="B14" s="3" t="s">
        <v>49</v>
      </c>
      <c r="C14" s="3" t="s">
        <v>19</v>
      </c>
      <c r="D14" s="3" t="s">
        <v>35</v>
      </c>
      <c r="E14" s="6">
        <f>VLOOKUP(C14,[1]summary!B$3:H$29,7,0)</f>
        <v>29</v>
      </c>
      <c r="F14" s="6">
        <f>VLOOKUP(C14,[2]summary!B$3:H$29,7,0)</f>
        <v>188</v>
      </c>
      <c r="G14" s="6">
        <f>VLOOKUP(C14,[3]summary!$B$3:$H$29,7,0)</f>
        <v>146</v>
      </c>
      <c r="H14" s="6">
        <f>VLOOKUP(C14,[4]summary!B$3:H$29,7,0)</f>
        <v>790</v>
      </c>
      <c r="I14" s="6">
        <f>VLOOKUP(C14,[5]summary!B$3:H$29,7,0)</f>
        <v>1061</v>
      </c>
      <c r="K14" s="19"/>
      <c r="L14" s="19" t="str">
        <f>_xlfn.IFNA(VLOOKUP(Tabela1[[#This Row],[Description]],$G$32:$I$42,3,0),"")</f>
        <v/>
      </c>
      <c r="M14" s="19" t="str">
        <f>_xlfn.IFNA(VLOOKUP(Tabela1[[#This Row],[Description]],$L$32:$N$42,3,0),"")</f>
        <v/>
      </c>
      <c r="N14" s="7" t="str">
        <f>_xlfn.IFNA(VLOOKUP(Tabela1[[#This Row],[Description]],$B$46:$D$53,3,0),"")</f>
        <v/>
      </c>
      <c r="O14" s="7"/>
      <c r="P14" s="7"/>
    </row>
    <row r="15" spans="1:17" x14ac:dyDescent="0.25">
      <c r="A15" s="5">
        <v>13</v>
      </c>
      <c r="B15" s="3" t="s">
        <v>37</v>
      </c>
      <c r="C15" s="3" t="s">
        <v>20</v>
      </c>
      <c r="D15" s="3" t="s">
        <v>35</v>
      </c>
      <c r="E15" s="6">
        <f>VLOOKUP(C15,[1]summary!B$3:H$29,7,0)</f>
        <v>0</v>
      </c>
      <c r="F15" s="6">
        <f>VLOOKUP(C15,[2]summary!B$3:H$29,7,0)</f>
        <v>0</v>
      </c>
      <c r="G15" s="6">
        <f>VLOOKUP(C15,[3]summary!$B$3:$H$29,7,0)</f>
        <v>0</v>
      </c>
      <c r="H15" s="6">
        <f>VLOOKUP(C15,[4]summary!B$3:H$29,7,0)</f>
        <v>0</v>
      </c>
      <c r="I15" s="6">
        <f>VLOOKUP(C15,[5]summary!B$3:H$29,7,0)</f>
        <v>0</v>
      </c>
      <c r="K15" s="19"/>
      <c r="L15" s="19" t="str">
        <f>_xlfn.IFNA(VLOOKUP(Tabela1[[#This Row],[Description]],$G$32:$I$42,3,0),"")</f>
        <v/>
      </c>
      <c r="M15" s="19" t="str">
        <f>_xlfn.IFNA(VLOOKUP(Tabela1[[#This Row],[Description]],$L$32:$N$42,3,0),"")</f>
        <v/>
      </c>
      <c r="N15" s="7" t="str">
        <f>_xlfn.IFNA(VLOOKUP(Tabela1[[#This Row],[Description]],$B$46:$D$53,3,0),"")</f>
        <v/>
      </c>
      <c r="O15" s="7"/>
      <c r="P15" s="7"/>
    </row>
    <row r="16" spans="1:17" x14ac:dyDescent="0.25">
      <c r="A16" s="5">
        <v>14</v>
      </c>
      <c r="B16" s="3" t="s">
        <v>50</v>
      </c>
      <c r="C16" s="3" t="s">
        <v>21</v>
      </c>
      <c r="D16" s="3" t="s">
        <v>36</v>
      </c>
      <c r="E16" s="6">
        <f>VLOOKUP(C16,[1]summary!B$3:H$29,7,0)</f>
        <v>60000</v>
      </c>
      <c r="F16" s="6">
        <f>VLOOKUP(C16,[2]summary!B$3:H$29,7,0)</f>
        <v>106597</v>
      </c>
      <c r="G16" s="6">
        <f>VLOOKUP(C16,[3]summary!$B$3:$H$29,7,0)</f>
        <v>2397</v>
      </c>
      <c r="H16" s="6">
        <f>VLOOKUP(C16,[4]summary!B$3:H$29,7,0)</f>
        <v>146000</v>
      </c>
      <c r="I16" s="6">
        <f>VLOOKUP(C16,[5]summary!B$3:H$29,7,0)</f>
        <v>123495</v>
      </c>
      <c r="K16" s="19"/>
      <c r="L16" s="19" t="s">
        <v>65</v>
      </c>
      <c r="M16" s="19" t="s">
        <v>66</v>
      </c>
      <c r="N16" s="7" t="str">
        <f>_xlfn.IFNA(VLOOKUP(Tabela1[[#This Row],[Description]],$B$46:$D$53,3,0),"")</f>
        <v/>
      </c>
      <c r="O16" s="7" t="s">
        <v>1</v>
      </c>
      <c r="P16" s="7" t="s">
        <v>2</v>
      </c>
      <c r="Q16" s="3" t="s">
        <v>67</v>
      </c>
    </row>
    <row r="17" spans="1:17" x14ac:dyDescent="0.25">
      <c r="A17" s="5">
        <v>15</v>
      </c>
      <c r="B17" s="3" t="s">
        <v>51</v>
      </c>
      <c r="C17" s="3" t="s">
        <v>22</v>
      </c>
      <c r="D17" s="3" t="s">
        <v>35</v>
      </c>
      <c r="E17" s="6">
        <f>VLOOKUP(C17,[1]summary!B$3:H$29,7,0)</f>
        <v>36210</v>
      </c>
      <c r="F17" s="6">
        <f>VLOOKUP(C17,[2]summary!B$3:H$29,7,0)</f>
        <v>9225</v>
      </c>
      <c r="G17" s="6">
        <f>VLOOKUP(C17,[3]summary!$B$3:$H$29,7,0)</f>
        <v>30677</v>
      </c>
      <c r="H17" s="6">
        <f>VLOOKUP(C17,[4]summary!B$3:H$29,7,0)</f>
        <v>25316</v>
      </c>
      <c r="I17" s="6">
        <f>VLOOKUP(C17,[5]summary!B$3:H$29,7,0)</f>
        <v>25496</v>
      </c>
      <c r="K17" s="19">
        <f>AVERAGE(43,90,45,84,74)</f>
        <v>67.2</v>
      </c>
      <c r="L17" s="19">
        <f>K17*90+M17</f>
        <v>7056</v>
      </c>
      <c r="M17" s="19">
        <f>K17*15</f>
        <v>1008</v>
      </c>
      <c r="N17" s="7" t="str">
        <f>_xlfn.IFNA(VLOOKUP(Tabela1[[#This Row],[Description]],$B$46:$D$53,3,0),"")</f>
        <v/>
      </c>
      <c r="O17" s="14" t="s">
        <v>22</v>
      </c>
      <c r="P17" s="3" t="s">
        <v>35</v>
      </c>
      <c r="Q17" s="15">
        <v>7056</v>
      </c>
    </row>
    <row r="18" spans="1:17" x14ac:dyDescent="0.25">
      <c r="A18" s="5">
        <v>16</v>
      </c>
      <c r="B18" s="3" t="s">
        <v>52</v>
      </c>
      <c r="C18" s="3" t="s">
        <v>23</v>
      </c>
      <c r="D18" s="3" t="s">
        <v>35</v>
      </c>
      <c r="E18" s="6">
        <f>VLOOKUP(C18,[1]summary!B$3:H$29,7,0)</f>
        <v>3663</v>
      </c>
      <c r="F18" s="6">
        <f>VLOOKUP(C18,[2]summary!B$3:H$29,7,0)</f>
        <v>0</v>
      </c>
      <c r="G18" s="6">
        <f>VLOOKUP(C18,[3]summary!$B$3:$H$29,7,0)</f>
        <v>208</v>
      </c>
      <c r="H18" s="6">
        <f>VLOOKUP(C18,[4]summary!B$3:H$29,7,0)</f>
        <v>1093</v>
      </c>
      <c r="I18" s="6">
        <f>VLOOKUP(C18,[5]summary!B$3:H$29,7,0)</f>
        <v>1132</v>
      </c>
      <c r="K18" s="18"/>
      <c r="L18" s="19"/>
      <c r="M18" s="19"/>
      <c r="N18" s="7" t="str">
        <f>_xlfn.IFNA(VLOOKUP(Tabela1[[#This Row],[Description]],$B$46:$D$53,3,0),"")</f>
        <v/>
      </c>
      <c r="O18" s="14" t="s">
        <v>24</v>
      </c>
      <c r="P18" s="3" t="s">
        <v>35</v>
      </c>
      <c r="Q18" s="15">
        <v>5145</v>
      </c>
    </row>
    <row r="19" spans="1:17" x14ac:dyDescent="0.25">
      <c r="A19" s="5">
        <v>17</v>
      </c>
      <c r="B19" s="3" t="s">
        <v>53</v>
      </c>
      <c r="C19" s="3" t="s">
        <v>24</v>
      </c>
      <c r="D19" s="3" t="s">
        <v>35</v>
      </c>
      <c r="E19" s="6">
        <f>VLOOKUP(C19,[1]summary!B$3:H$29,7,0)</f>
        <v>3851</v>
      </c>
      <c r="F19" s="6">
        <f>VLOOKUP(C19,[2]summary!B$3:H$29,7,0)</f>
        <v>35</v>
      </c>
      <c r="G19" s="6">
        <f>VLOOKUP(C19,[3]summary!$B$3:$H$29,7,0)</f>
        <v>9140</v>
      </c>
      <c r="H19" s="6">
        <f>VLOOKUP(C19,[4]summary!B$3:H$29,7,0)</f>
        <v>9429</v>
      </c>
      <c r="I19" s="6">
        <f>VLOOKUP(C19,[5]summary!B$3:H$29,7,0)</f>
        <v>11280</v>
      </c>
      <c r="K19" s="19">
        <f>AVERAGE(20,61,25,77,62)</f>
        <v>49</v>
      </c>
      <c r="L19" s="19">
        <f t="shared" ref="L19:L26" si="0">K19*90+M19</f>
        <v>5145</v>
      </c>
      <c r="M19" s="19">
        <f t="shared" ref="M19:M26" si="1">K19*15</f>
        <v>735</v>
      </c>
      <c r="N19" s="7" t="str">
        <f>_xlfn.IFNA(VLOOKUP(Tabela1[[#This Row],[Description]],$B$46:$D$53,3,0),"")</f>
        <v/>
      </c>
      <c r="O19" s="14" t="s">
        <v>25</v>
      </c>
      <c r="P19" s="3" t="s">
        <v>35</v>
      </c>
      <c r="Q19" s="15">
        <v>1491</v>
      </c>
    </row>
    <row r="20" spans="1:17" x14ac:dyDescent="0.25">
      <c r="A20" s="5">
        <v>18</v>
      </c>
      <c r="B20" s="3" t="s">
        <v>62</v>
      </c>
      <c r="C20" s="3" t="s">
        <v>25</v>
      </c>
      <c r="D20" s="3" t="s">
        <v>35</v>
      </c>
      <c r="E20" s="6">
        <f>VLOOKUP(C20,[1]summary!B$3:H$29,7,0)</f>
        <v>1714</v>
      </c>
      <c r="F20" s="6">
        <f>VLOOKUP(C20,[2]summary!B$3:H$29,7,0)</f>
        <v>-325</v>
      </c>
      <c r="G20" s="6">
        <f>VLOOKUP(C20,[3]summary!$B$3:$H$29,7,0)</f>
        <v>1207</v>
      </c>
      <c r="H20" s="6">
        <f>VLOOKUP(C20,[4]summary!B$3:H$29,7,0)</f>
        <v>1366</v>
      </c>
      <c r="I20" s="6">
        <f>VLOOKUP(C20,[5]summary!B$3:H$29,7,0)</f>
        <v>1828</v>
      </c>
      <c r="K20" s="19">
        <f>AVERAGE(11,13,18,21,8)</f>
        <v>14.2</v>
      </c>
      <c r="L20" s="19">
        <f t="shared" si="0"/>
        <v>1491</v>
      </c>
      <c r="M20" s="19">
        <f t="shared" si="1"/>
        <v>213</v>
      </c>
      <c r="N20" s="7" t="str">
        <f>_xlfn.IFNA(VLOOKUP(Tabela1[[#This Row],[Description]],$B$46:$D$53,3,0),"")</f>
        <v/>
      </c>
      <c r="O20" s="14" t="s">
        <v>26</v>
      </c>
      <c r="P20" s="3" t="s">
        <v>35</v>
      </c>
      <c r="Q20" s="15">
        <v>2499</v>
      </c>
    </row>
    <row r="21" spans="1:17" x14ac:dyDescent="0.25">
      <c r="A21" s="5">
        <v>19</v>
      </c>
      <c r="B21" s="3" t="s">
        <v>63</v>
      </c>
      <c r="C21" s="3" t="s">
        <v>26</v>
      </c>
      <c r="D21" s="3" t="s">
        <v>35</v>
      </c>
      <c r="E21" s="6">
        <f>VLOOKUP(C21,[1]summary!B$3:H$29,7,0)</f>
        <v>14506</v>
      </c>
      <c r="F21" s="6">
        <f>VLOOKUP(C21,[2]summary!B$3:H$29,7,0)</f>
        <v>6220</v>
      </c>
      <c r="G21" s="6">
        <f>VLOOKUP(C21,[3]summary!$B$3:$H$29,7,0)</f>
        <v>16152</v>
      </c>
      <c r="H21" s="6">
        <f>VLOOKUP(C21,[4]summary!B$3:H$29,7,0)</f>
        <v>14846</v>
      </c>
      <c r="I21" s="6">
        <f>VLOOKUP(C21,[5]summary!B$3:H$29,7,0)</f>
        <v>14893</v>
      </c>
      <c r="K21" s="19">
        <f>AVERAGE(30,33,13,27,16)</f>
        <v>23.8</v>
      </c>
      <c r="L21" s="19">
        <f t="shared" si="0"/>
        <v>2499</v>
      </c>
      <c r="M21" s="19">
        <f t="shared" si="1"/>
        <v>357</v>
      </c>
      <c r="N21" s="7" t="str">
        <f>_xlfn.IFNA(VLOOKUP(Tabela1[[#This Row],[Description]],$B$46:$D$53,3,0),"")</f>
        <v/>
      </c>
      <c r="O21" s="14" t="s">
        <v>27</v>
      </c>
      <c r="P21" s="3" t="s">
        <v>36</v>
      </c>
      <c r="Q21" s="15">
        <v>323211</v>
      </c>
    </row>
    <row r="22" spans="1:17" x14ac:dyDescent="0.25">
      <c r="A22" s="5">
        <v>20</v>
      </c>
      <c r="B22" s="3" t="s">
        <v>54</v>
      </c>
      <c r="C22" s="3" t="s">
        <v>27</v>
      </c>
      <c r="D22" s="3" t="s">
        <v>36</v>
      </c>
      <c r="E22" s="6">
        <f>VLOOKUP(C22,[1]summary!B$3:H$29,7,0)</f>
        <v>79030</v>
      </c>
      <c r="F22" s="6">
        <f>VLOOKUP(C22,[2]summary!B$3:H$29,7,0)</f>
        <v>235000</v>
      </c>
      <c r="G22" s="6">
        <f>VLOOKUP(C22,[3]summary!$B$3:$H$29,7,0)</f>
        <v>117276</v>
      </c>
      <c r="H22" s="6">
        <f>VLOOKUP(C22,[4]summary!B$3:H$29,7,0)</f>
        <v>1055999</v>
      </c>
      <c r="I22" s="6">
        <f>VLOOKUP(C22,[5]summary!B$3:H$29,7,0)</f>
        <v>412557</v>
      </c>
      <c r="K22" s="19">
        <f>AVERAGE(2773,2463,1490,6000,2665)</f>
        <v>3078.2</v>
      </c>
      <c r="L22" s="19">
        <f t="shared" si="0"/>
        <v>323211</v>
      </c>
      <c r="M22" s="19">
        <f t="shared" si="1"/>
        <v>46173</v>
      </c>
      <c r="N22" s="7" t="str">
        <f>_xlfn.IFNA(VLOOKUP(Tabela1[[#This Row],[Description]],$B$46:$D$53,3,0),"")</f>
        <v/>
      </c>
      <c r="O22" s="14" t="s">
        <v>29</v>
      </c>
      <c r="P22" s="3" t="s">
        <v>35</v>
      </c>
      <c r="Q22" s="15">
        <v>3780</v>
      </c>
    </row>
    <row r="23" spans="1:17" x14ac:dyDescent="0.25">
      <c r="A23" s="5">
        <v>21</v>
      </c>
      <c r="B23" s="3" t="s">
        <v>55</v>
      </c>
      <c r="C23" s="3" t="s">
        <v>28</v>
      </c>
      <c r="D23" s="3" t="s">
        <v>36</v>
      </c>
      <c r="E23" s="6">
        <f>VLOOKUP(C23,[1]summary!B$3:H$29,7,0)</f>
        <v>0</v>
      </c>
      <c r="F23" s="6">
        <f>VLOOKUP(C23,[2]summary!B$3:H$29,7,0)</f>
        <v>0</v>
      </c>
      <c r="G23" s="6">
        <f>VLOOKUP(C23,[3]summary!$B$3:$H$29,7,0)</f>
        <v>1025</v>
      </c>
      <c r="H23" s="6">
        <f>VLOOKUP(C23,[4]summary!B$3:H$29,7,0)</f>
        <v>35000</v>
      </c>
      <c r="I23" s="6">
        <f>VLOOKUP(C23,[5]summary!B$3:H$29,7,0)</f>
        <v>35000</v>
      </c>
      <c r="K23" s="18"/>
      <c r="L23" s="19"/>
      <c r="M23" s="19"/>
      <c r="N23" s="7" t="str">
        <f>_xlfn.IFNA(VLOOKUP(Tabela1[[#This Row],[Description]],$B$46:$D$53,3,0),"")</f>
        <v/>
      </c>
      <c r="O23" s="14" t="s">
        <v>30</v>
      </c>
      <c r="P23" s="3" t="s">
        <v>35</v>
      </c>
      <c r="Q23" s="15">
        <v>9408</v>
      </c>
    </row>
    <row r="24" spans="1:17" x14ac:dyDescent="0.25">
      <c r="A24" s="5">
        <v>22</v>
      </c>
      <c r="B24" s="3" t="s">
        <v>58</v>
      </c>
      <c r="C24" s="3" t="s">
        <v>29</v>
      </c>
      <c r="D24" s="3" t="s">
        <v>35</v>
      </c>
      <c r="E24" s="6">
        <f>VLOOKUP(C24,[1]summary!B$3:H$29,7,0)</f>
        <v>54730</v>
      </c>
      <c r="F24" s="6">
        <f>VLOOKUP(C24,[2]summary!B$3:H$29,7,0)</f>
        <v>44424</v>
      </c>
      <c r="G24" s="6">
        <f>VLOOKUP(C24,[3]summary!$B$3:$H$29,7,0)</f>
        <v>70810</v>
      </c>
      <c r="H24" s="6">
        <f>VLOOKUP(C24,[4]summary!B$3:H$29,7,0)</f>
        <v>67752</v>
      </c>
      <c r="I24" s="6">
        <f>VLOOKUP(C24,[5]summary!B$3:H$29,7,0)</f>
        <v>67836</v>
      </c>
      <c r="K24" s="19">
        <f>AVERAGE(46,26)</f>
        <v>36</v>
      </c>
      <c r="L24" s="19">
        <f t="shared" si="0"/>
        <v>3780</v>
      </c>
      <c r="M24" s="19">
        <f t="shared" si="1"/>
        <v>540</v>
      </c>
      <c r="N24" s="7"/>
      <c r="O24" s="14" t="s">
        <v>31</v>
      </c>
      <c r="P24" s="3" t="s">
        <v>35</v>
      </c>
      <c r="Q24" s="15">
        <v>13545</v>
      </c>
    </row>
    <row r="25" spans="1:17" x14ac:dyDescent="0.25">
      <c r="A25" s="5">
        <v>23</v>
      </c>
      <c r="B25" s="3" t="s">
        <v>59</v>
      </c>
      <c r="C25" s="3" t="s">
        <v>30</v>
      </c>
      <c r="D25" s="3" t="s">
        <v>35</v>
      </c>
      <c r="E25" s="6">
        <f>VLOOKUP(C25,[1]summary!B$3:H$29,7,0)</f>
        <v>54865</v>
      </c>
      <c r="F25" s="6">
        <f>VLOOKUP(C25,[2]summary!B$3:H$29,7,0)</f>
        <v>31004</v>
      </c>
      <c r="G25" s="6">
        <f>VLOOKUP(C25,[3]summary!$B$3:$H$29,7,0)</f>
        <v>68062</v>
      </c>
      <c r="H25" s="6">
        <f>VLOOKUP(C25,[4]summary!B$3:H$29,7,0)</f>
        <v>56490</v>
      </c>
      <c r="I25" s="6">
        <f>VLOOKUP(C25,[5]summary!B$3:H$29,7,0)</f>
        <v>64220</v>
      </c>
      <c r="K25" s="19">
        <f>AVERAGE(83,102,84,133,46)</f>
        <v>89.6</v>
      </c>
      <c r="L25" s="19">
        <f t="shared" si="0"/>
        <v>9408</v>
      </c>
      <c r="M25" s="19">
        <f>K25*15</f>
        <v>1344</v>
      </c>
      <c r="N25" s="7" t="str">
        <f>_xlfn.IFNA(VLOOKUP(Tabela1[[#This Row],[Description]],$B$46:$D$53,3,0),"")</f>
        <v/>
      </c>
    </row>
    <row r="26" spans="1:17" x14ac:dyDescent="0.25">
      <c r="A26" s="5">
        <v>24</v>
      </c>
      <c r="B26" s="3" t="s">
        <v>56</v>
      </c>
      <c r="C26" s="3" t="s">
        <v>31</v>
      </c>
      <c r="D26" s="3" t="s">
        <v>35</v>
      </c>
      <c r="E26" s="6">
        <f>VLOOKUP(C26,[1]summary!B$3:H$29,7,0)</f>
        <v>50841</v>
      </c>
      <c r="F26" s="6">
        <f>VLOOKUP(C26,[2]summary!B$3:H$29,7,0)</f>
        <v>21380</v>
      </c>
      <c r="G26" s="6">
        <f>VLOOKUP(C26,[3]summary!$B$3:$H$29,7,0)</f>
        <v>64042</v>
      </c>
      <c r="H26" s="6">
        <f>VLOOKUP(C26,[4]summary!B$3:H$29,7,0)</f>
        <v>51534</v>
      </c>
      <c r="I26" s="6">
        <f>VLOOKUP(C26,[5]summary!B$3:H$29,7,0)</f>
        <v>42964</v>
      </c>
      <c r="K26" s="19">
        <f>AVERAGE(89,155,87,166,148)</f>
        <v>129</v>
      </c>
      <c r="L26" s="19">
        <f t="shared" si="0"/>
        <v>13545</v>
      </c>
      <c r="M26" s="19">
        <f t="shared" si="1"/>
        <v>1935</v>
      </c>
      <c r="N26" s="7" t="str">
        <f>_xlfn.IFNA(VLOOKUP(Tabela1[[#This Row],[Description]],$B$46:$D$53,3,0),"")</f>
        <v/>
      </c>
    </row>
    <row r="27" spans="1:17" x14ac:dyDescent="0.25">
      <c r="A27" s="5">
        <v>25</v>
      </c>
      <c r="B27" s="3" t="s">
        <v>57</v>
      </c>
      <c r="C27" s="3" t="s">
        <v>32</v>
      </c>
      <c r="D27" s="3" t="s">
        <v>35</v>
      </c>
      <c r="E27" s="6">
        <f>VLOOKUP(C27,[1]summary!B$3:H$29,7,0)</f>
        <v>2360</v>
      </c>
      <c r="F27" s="6">
        <f>VLOOKUP(C27,[2]summary!B$3:H$29,7,0)</f>
        <v>1219</v>
      </c>
      <c r="G27" s="6">
        <f>VLOOKUP(C27,[3]summary!$B$3:$H$29,7,0)</f>
        <v>2450</v>
      </c>
      <c r="H27" s="6">
        <f>VLOOKUP(C27,[4]summary!B$3:H$29,7,0)</f>
        <v>1704</v>
      </c>
      <c r="I27" s="6">
        <f>VLOOKUP(C27,[5]summary!B$3:H$29,7,0)</f>
        <v>242</v>
      </c>
      <c r="K27" s="7"/>
      <c r="L27" s="7"/>
      <c r="M27" s="7"/>
      <c r="N27" s="7" t="str">
        <f>_xlfn.IFNA(VLOOKUP(Tabela1[[#This Row],[Description]],$B$46:$D$53,3,0),"")</f>
        <v/>
      </c>
      <c r="O27" s="7"/>
    </row>
    <row r="28" spans="1:17" x14ac:dyDescent="0.25">
      <c r="A28" s="5">
        <v>26</v>
      </c>
      <c r="B28" s="3" t="s">
        <v>60</v>
      </c>
      <c r="C28" s="3" t="s">
        <v>33</v>
      </c>
      <c r="D28" s="3" t="s">
        <v>35</v>
      </c>
      <c r="E28" s="6">
        <f>VLOOKUP(C28,[1]summary!B$3:H$29,7,0)</f>
        <v>0</v>
      </c>
      <c r="F28" s="6">
        <f>VLOOKUP(C28,[2]summary!B$3:H$29,7,0)</f>
        <v>0</v>
      </c>
      <c r="G28" s="6">
        <f>VLOOKUP(C28,[3]summary!$B$3:$H$29,7,0)</f>
        <v>0</v>
      </c>
      <c r="H28" s="6">
        <f>VLOOKUP(C28,[4]summary!B$3:H$29,7,0)</f>
        <v>0</v>
      </c>
      <c r="I28" s="6">
        <f>VLOOKUP(C28,[5]summary!B$3:H$29,7,0)</f>
        <v>0</v>
      </c>
      <c r="K28" s="7"/>
      <c r="L28" s="7"/>
      <c r="M28" s="7" t="str">
        <f>_xlfn.IFNA(VLOOKUP(Tabela1[[#This Row],[Description]],$L$32:$N$42,3,0),"")</f>
        <v/>
      </c>
      <c r="N28" s="7" t="str">
        <f>_xlfn.IFNA(VLOOKUP(Tabela1[[#This Row],[Description]],$B$46:$D$53,3,0),"")</f>
        <v/>
      </c>
      <c r="O28" s="7"/>
    </row>
    <row r="29" spans="1:17" x14ac:dyDescent="0.25">
      <c r="A29" s="5">
        <v>27</v>
      </c>
      <c r="B29" s="3" t="s">
        <v>61</v>
      </c>
      <c r="C29" s="3" t="s">
        <v>34</v>
      </c>
      <c r="D29" s="3" t="s">
        <v>35</v>
      </c>
      <c r="E29" s="6">
        <f>VLOOKUP(C29,[1]summary!B$3:H$29,7,0)</f>
        <v>0</v>
      </c>
      <c r="F29" s="6">
        <f>VLOOKUP(C29,[2]summary!B$3:H$29,7,0)</f>
        <v>0</v>
      </c>
      <c r="G29" s="6">
        <f>VLOOKUP(C29,[3]summary!$B$3:$H$29,7,0)</f>
        <v>0</v>
      </c>
      <c r="H29" s="6">
        <f>VLOOKUP(C29,[4]summary!B$3:H$29,7,0)</f>
        <v>0</v>
      </c>
      <c r="I29" s="6">
        <f>VLOOKUP(C29,[5]summary!B$3:H$29,7,0)</f>
        <v>0</v>
      </c>
      <c r="M29" s="7"/>
      <c r="P29" s="7"/>
    </row>
    <row r="31" spans="1:17" x14ac:dyDescent="0.25">
      <c r="B31" s="16" t="s">
        <v>70</v>
      </c>
      <c r="C31" s="8"/>
      <c r="D31" s="8"/>
      <c r="G31" s="9"/>
      <c r="H31" s="9"/>
      <c r="I31" s="9"/>
      <c r="L31" s="9"/>
      <c r="M31" s="9"/>
      <c r="N31" s="9"/>
    </row>
    <row r="32" spans="1:17" x14ac:dyDescent="0.25">
      <c r="B32" s="10"/>
      <c r="C32" s="11"/>
      <c r="D32" s="11"/>
      <c r="G32" s="12"/>
      <c r="I32" s="7"/>
      <c r="L32" s="12"/>
    </row>
    <row r="33" spans="2:12" x14ac:dyDescent="0.25">
      <c r="B33" s="10"/>
      <c r="C33" s="11"/>
      <c r="D33" s="11"/>
      <c r="G33" s="12"/>
      <c r="I33" s="7"/>
      <c r="L33" s="12"/>
    </row>
    <row r="34" spans="2:12" x14ac:dyDescent="0.25">
      <c r="B34" s="10"/>
      <c r="C34" s="11"/>
      <c r="D34" s="11"/>
      <c r="G34" s="12"/>
      <c r="I34" s="7"/>
      <c r="L34" s="12"/>
    </row>
    <row r="35" spans="2:12" x14ac:dyDescent="0.25">
      <c r="B35" s="10"/>
      <c r="C35" s="11"/>
      <c r="D35" s="11"/>
      <c r="G35" s="12"/>
      <c r="I35" s="7"/>
      <c r="L35" s="12"/>
    </row>
    <row r="36" spans="2:12" x14ac:dyDescent="0.25">
      <c r="B36" s="10"/>
      <c r="C36" s="11"/>
      <c r="D36" s="11"/>
      <c r="G36" s="12"/>
      <c r="I36" s="7"/>
      <c r="L36" s="12"/>
    </row>
    <row r="37" spans="2:12" x14ac:dyDescent="0.25">
      <c r="B37" s="10"/>
      <c r="C37" s="11"/>
      <c r="D37" s="11"/>
      <c r="G37" s="12"/>
      <c r="I37" s="7"/>
      <c r="L37" s="12"/>
    </row>
    <row r="38" spans="2:12" x14ac:dyDescent="0.25">
      <c r="B38" s="10"/>
      <c r="C38" s="11"/>
      <c r="D38" s="11"/>
      <c r="G38" s="12"/>
      <c r="I38" s="7"/>
      <c r="L38" s="12"/>
    </row>
    <row r="39" spans="2:12" x14ac:dyDescent="0.25">
      <c r="B39" s="10"/>
      <c r="C39" s="11"/>
      <c r="D39" s="11"/>
      <c r="G39" s="12"/>
      <c r="I39" s="7"/>
      <c r="L39" s="12"/>
    </row>
    <row r="40" spans="2:12" x14ac:dyDescent="0.25">
      <c r="B40" s="10"/>
      <c r="C40" s="11"/>
      <c r="D40" s="11"/>
      <c r="G40" s="12"/>
      <c r="I40" s="7"/>
      <c r="L40" s="12"/>
    </row>
    <row r="41" spans="2:12" x14ac:dyDescent="0.25">
      <c r="B41" s="10"/>
      <c r="C41" s="11"/>
      <c r="D41" s="11"/>
      <c r="G41" s="12"/>
      <c r="I41" s="7"/>
      <c r="L41" s="12"/>
    </row>
    <row r="42" spans="2:12" x14ac:dyDescent="0.25">
      <c r="B42" s="10"/>
      <c r="C42" s="11"/>
      <c r="D42" s="11"/>
      <c r="G42" s="12"/>
      <c r="I42" s="7"/>
      <c r="L42" s="12"/>
    </row>
    <row r="43" spans="2:12" x14ac:dyDescent="0.25">
      <c r="B43" s="10"/>
      <c r="C43" s="11"/>
      <c r="D43" s="11"/>
    </row>
    <row r="45" spans="2:12" x14ac:dyDescent="0.25">
      <c r="B45" s="9"/>
      <c r="C45" s="9"/>
      <c r="D45" s="9"/>
      <c r="G45" s="9"/>
      <c r="H45" s="9"/>
      <c r="I45" s="9"/>
    </row>
    <row r="46" spans="2:12" x14ac:dyDescent="0.25">
      <c r="B46" s="12"/>
      <c r="C46" s="13"/>
      <c r="D46" s="13"/>
      <c r="G46" s="12"/>
    </row>
    <row r="47" spans="2:12" x14ac:dyDescent="0.25">
      <c r="B47" s="12"/>
      <c r="C47" s="13"/>
      <c r="D47" s="13"/>
      <c r="G47" s="12"/>
    </row>
    <row r="48" spans="2:12" x14ac:dyDescent="0.25">
      <c r="B48" s="12"/>
      <c r="C48" s="13"/>
      <c r="D48" s="13"/>
      <c r="G48" s="12"/>
    </row>
    <row r="49" spans="2:7" x14ac:dyDescent="0.25">
      <c r="B49" s="12"/>
      <c r="C49" s="13"/>
      <c r="D49" s="13"/>
      <c r="G49" s="12"/>
    </row>
    <row r="50" spans="2:7" x14ac:dyDescent="0.25">
      <c r="B50" s="12"/>
      <c r="C50" s="13"/>
      <c r="D50" s="13"/>
      <c r="G50" s="12"/>
    </row>
    <row r="51" spans="2:7" x14ac:dyDescent="0.25">
      <c r="B51" s="12"/>
      <c r="C51" s="13"/>
      <c r="D51" s="13"/>
      <c r="G51" s="12"/>
    </row>
    <row r="52" spans="2:7" x14ac:dyDescent="0.25">
      <c r="B52" s="12"/>
      <c r="C52" s="13"/>
      <c r="D52" s="13"/>
      <c r="G52" s="12"/>
    </row>
    <row r="53" spans="2:7" x14ac:dyDescent="0.25">
      <c r="B53" s="12"/>
      <c r="C53" s="13"/>
      <c r="D53" s="13"/>
      <c r="G53" s="12"/>
    </row>
    <row r="54" spans="2:7" x14ac:dyDescent="0.25">
      <c r="G54" s="12"/>
    </row>
    <row r="55" spans="2:7" x14ac:dyDescent="0.25">
      <c r="G55" s="12"/>
    </row>
    <row r="56" spans="2:7" x14ac:dyDescent="0.25">
      <c r="G56" s="12"/>
    </row>
    <row r="57" spans="2:7" x14ac:dyDescent="0.25">
      <c r="G57" s="12"/>
    </row>
    <row r="58" spans="2:7" x14ac:dyDescent="0.25">
      <c r="G58" s="12"/>
    </row>
    <row r="59" spans="2:7" x14ac:dyDescent="0.25">
      <c r="G59" s="12"/>
    </row>
    <row r="60" spans="2:7" x14ac:dyDescent="0.25">
      <c r="G60" s="12"/>
    </row>
    <row r="61" spans="2:7" x14ac:dyDescent="0.25">
      <c r="G61" s="12"/>
    </row>
    <row r="62" spans="2:7" x14ac:dyDescent="0.25">
      <c r="G62" s="12"/>
    </row>
    <row r="63" spans="2:7" x14ac:dyDescent="0.25">
      <c r="G63" s="12"/>
    </row>
    <row r="64" spans="2:7" x14ac:dyDescent="0.25">
      <c r="G64" s="12"/>
    </row>
    <row r="65" spans="7:7" x14ac:dyDescent="0.25">
      <c r="G65" s="12"/>
    </row>
    <row r="66" spans="7:7" x14ac:dyDescent="0.25">
      <c r="G66" s="12"/>
    </row>
    <row r="67" spans="7:7" x14ac:dyDescent="0.25">
      <c r="G67" s="12"/>
    </row>
    <row r="68" spans="7:7" x14ac:dyDescent="0.25">
      <c r="G68" s="12"/>
    </row>
    <row r="69" spans="7:7" x14ac:dyDescent="0.25">
      <c r="G69" s="12"/>
    </row>
    <row r="70" spans="7:7" x14ac:dyDescent="0.25">
      <c r="G70" s="12"/>
    </row>
    <row r="71" spans="7:7" x14ac:dyDescent="0.25">
      <c r="G71" s="12"/>
    </row>
    <row r="72" spans="7:7" x14ac:dyDescent="0.25">
      <c r="G72" s="12"/>
    </row>
    <row r="73" spans="7:7" x14ac:dyDescent="0.25">
      <c r="G73" s="12"/>
    </row>
    <row r="74" spans="7:7" x14ac:dyDescent="0.25">
      <c r="G74" s="12"/>
    </row>
    <row r="75" spans="7:7" x14ac:dyDescent="0.25">
      <c r="G75" s="12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Manjate</dc:creator>
  <cp:lastModifiedBy>Nilton Manjate</cp:lastModifiedBy>
  <cp:lastPrinted>2024-10-05T07:58:34Z</cp:lastPrinted>
  <dcterms:created xsi:type="dcterms:W3CDTF">2024-09-02T07:09:21Z</dcterms:created>
  <dcterms:modified xsi:type="dcterms:W3CDTF">2024-10-07T08:47:42Z</dcterms:modified>
</cp:coreProperties>
</file>